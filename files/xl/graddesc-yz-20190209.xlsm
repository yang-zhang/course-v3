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4" codeName="{51196F13-6AD0-C1B8-E2B4-A1F9AE17003E}"/>
  <workbookPr codeName="ThisWorkbook"/>
  <mc:AlternateContent xmlns:mc="http://schemas.openxmlformats.org/markup-compatibility/2006">
    <mc:Choice Requires="x15">
      <x15ac:absPath xmlns:x15ac="http://schemas.microsoft.com/office/spreadsheetml/2010/11/ac" url="/Users/yang.zhang/git/course-v3/files/xl/"/>
    </mc:Choice>
  </mc:AlternateContent>
  <xr:revisionPtr revIDLastSave="0" documentId="13_ncr:1_{5970DCE8-AF14-244F-9D3B-79A5CCBAC95B}" xr6:coauthVersionLast="36" xr6:coauthVersionMax="38" xr10:uidLastSave="{00000000-0000-0000-0000-000000000000}"/>
  <bookViews>
    <workbookView xWindow="0" yWindow="460" windowWidth="28800" windowHeight="17540" activeTab="6" xr2:uid="{00000000-000D-0000-FFFF-FFFF00000000}"/>
  </bookViews>
  <sheets>
    <sheet name="Sheet1" sheetId="20" r:id="rId1"/>
    <sheet name="data" sheetId="1" r:id="rId2"/>
    <sheet name="basic" sheetId="3" r:id="rId3"/>
    <sheet name="momentum" sheetId="18" r:id="rId4"/>
    <sheet name="rmsprop" sheetId="13" r:id="rId5"/>
    <sheet name="adam" sheetId="15" r:id="rId6"/>
    <sheet name="adam_ann" sheetId="19" r:id="rId7"/>
  </sheets>
  <definedNames>
    <definedName name="avg_grad2" localSheetId="6">adam_ann!$N$33</definedName>
    <definedName name="const" localSheetId="5">adam!$C$1</definedName>
    <definedName name="const" localSheetId="6">adam_ann!$C$1</definedName>
    <definedName name="const" localSheetId="2">basic!$C$1</definedName>
    <definedName name="const" localSheetId="3">momentum!$C$1</definedName>
    <definedName name="const" localSheetId="4">rmsprop!$C$1</definedName>
    <definedName name="gradrat" localSheetId="6">adam_ann!$N$34</definedName>
    <definedName name="gradtarget" localSheetId="5">adam!$L$33:$M$33</definedName>
    <definedName name="gradtarget" localSheetId="6">adam_ann!$L$33:$M$33</definedName>
    <definedName name="gradtarget" localSheetId="2">basic!$K$1:$L$1</definedName>
    <definedName name="gradtarget" localSheetId="3">momentum!#REF!</definedName>
    <definedName name="gradtarget" localSheetId="4">rmsprop!$J$33:$K$33</definedName>
    <definedName name="histgrad" localSheetId="5">adam!$F$33:$G$33</definedName>
    <definedName name="histgrad" localSheetId="6">adam_ann!$F$33:$G$33</definedName>
    <definedName name="histgrad" localSheetId="2">basic!$K$33:$L$33</definedName>
    <definedName name="histgrad" localSheetId="3">momentum!$F$33:$G$33</definedName>
    <definedName name="histgrad" localSheetId="4">rmsprop!$F$33:$G$33</definedName>
    <definedName name="lastconst" localSheetId="5">adam!$C$32</definedName>
    <definedName name="lastconst" localSheetId="6">adam_ann!$C$32</definedName>
    <definedName name="lastconst" localSheetId="2">basic!$C$32</definedName>
    <definedName name="lastconst" localSheetId="3">momentum!$C$32</definedName>
    <definedName name="lastconst" localSheetId="4">rmsprop!$C$32</definedName>
    <definedName name="lastslope" localSheetId="5">adam!$D$32</definedName>
    <definedName name="lastslope" localSheetId="6">adam_ann!$D$32</definedName>
    <definedName name="lastslope" localSheetId="2">basic!$D$32</definedName>
    <definedName name="lastslope" localSheetId="3">momentum!$D$32</definedName>
    <definedName name="lastslope" localSheetId="4">rmsprop!$D$32</definedName>
    <definedName name="lr" localSheetId="5">adam!$D$2</definedName>
    <definedName name="lr" localSheetId="6">adam_ann!$D$2</definedName>
    <definedName name="lr" localSheetId="3">momentum!$D$2</definedName>
    <definedName name="max_clipped" localSheetId="5">adam!$O$34</definedName>
    <definedName name="max_clipped" localSheetId="6">adam_ann!$O$34</definedName>
    <definedName name="max_clipped" localSheetId="3">momentum!$M$34</definedName>
    <definedName name="max_clipped" localSheetId="4">rmsprop!$K$34</definedName>
    <definedName name="momlast" localSheetId="5">adam!$J$32:$K$32</definedName>
    <definedName name="momlast" localSheetId="6">adam_ann!$J$32:$K$32</definedName>
    <definedName name="momlast" localSheetId="3">momentum!$J$32:$K$32</definedName>
    <definedName name="momtarget" localSheetId="5">adam!$J$33:$K$33</definedName>
    <definedName name="momtarget" localSheetId="6">adam_ann!$J$33:$K$33</definedName>
    <definedName name="momtarget" localSheetId="3">momentum!$J$33:$K$33</definedName>
    <definedName name="ms_last" localSheetId="5">adam!$L$32:$M$32</definedName>
    <definedName name="ms_last" localSheetId="6">adam_ann!$L$32:$M$32</definedName>
    <definedName name="ms_last" localSheetId="3">momentum!#REF!</definedName>
    <definedName name="ms_last" localSheetId="4">rmsprop!$J$32:$K$32</definedName>
    <definedName name="pct_clipped" localSheetId="5">adam!$O$33</definedName>
    <definedName name="pct_clipped" localSheetId="6">adam_ann!$O$33</definedName>
    <definedName name="pct_clipped" localSheetId="3">momentum!$M$33</definedName>
    <definedName name="pct_clipped" localSheetId="4">rmsprop!#REF!</definedName>
    <definedName name="prev_grad2" localSheetId="6">adam_ann!$N$3</definedName>
    <definedName name="rmse" localSheetId="2">basic!$F$33</definedName>
    <definedName name="rmses" localSheetId="2">basic!$C$38:$C$106</definedName>
    <definedName name="rmsestart" localSheetId="2">basic!$C$36</definedName>
    <definedName name="slope" localSheetId="5">adam!$C$2</definedName>
    <definedName name="slope" localSheetId="6">adam_ann!$C$2</definedName>
    <definedName name="slope" localSheetId="2">basic!$C$2</definedName>
    <definedName name="slope" localSheetId="3">momentum!$C$2</definedName>
    <definedName name="slope" localSheetId="4">rmsprop!$C$2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3" i="19" l="1"/>
  <c r="D4" i="19" l="1"/>
  <c r="C4" i="19"/>
  <c r="M3" i="19"/>
  <c r="L3" i="19"/>
  <c r="L34" i="19" s="1"/>
  <c r="K3" i="19"/>
  <c r="K34" i="19" s="1"/>
  <c r="J3" i="19"/>
  <c r="M1" i="19"/>
  <c r="K1" i="19"/>
  <c r="D4" i="18"/>
  <c r="C4" i="18"/>
  <c r="K1" i="18"/>
  <c r="F4" i="19" l="1"/>
  <c r="G4" i="19" s="1"/>
  <c r="K4" i="19" s="1"/>
  <c r="E4" i="19"/>
  <c r="F4" i="18"/>
  <c r="G4" i="18" s="1"/>
  <c r="K4" i="18" s="1"/>
  <c r="I4" i="18" s="1"/>
  <c r="D5" i="18" s="1"/>
  <c r="E4" i="18"/>
  <c r="L4" i="18" s="1"/>
  <c r="J4" i="19" l="1"/>
  <c r="M4" i="19"/>
  <c r="I4" i="19" s="1"/>
  <c r="D5" i="19" s="1"/>
  <c r="L4" i="19"/>
  <c r="J4" i="18"/>
  <c r="H4" i="18" s="1"/>
  <c r="C5" i="18" s="1"/>
  <c r="F5" i="18" s="1"/>
  <c r="J5" i="18" s="1"/>
  <c r="H5" i="18" s="1"/>
  <c r="K1" i="15"/>
  <c r="D4" i="15"/>
  <c r="C4" i="15"/>
  <c r="M1" i="15"/>
  <c r="H4" i="19" l="1"/>
  <c r="C5" i="19" s="1"/>
  <c r="E5" i="19" s="1"/>
  <c r="E5" i="18"/>
  <c r="L5" i="18" s="1"/>
  <c r="G5" i="18"/>
  <c r="F4" i="15"/>
  <c r="E4" i="15"/>
  <c r="K1" i="13"/>
  <c r="K3" i="13"/>
  <c r="J3" i="13"/>
  <c r="D4" i="13"/>
  <c r="C4" i="13"/>
  <c r="F5" i="19" l="1"/>
  <c r="K5" i="18"/>
  <c r="I5" i="18" s="1"/>
  <c r="C6" i="18"/>
  <c r="G4" i="15"/>
  <c r="J4" i="15"/>
  <c r="L4" i="15"/>
  <c r="F4" i="13"/>
  <c r="J4" i="13" s="1"/>
  <c r="E4" i="13"/>
  <c r="G5" i="19" l="1"/>
  <c r="K5" i="19" s="1"/>
  <c r="J5" i="19"/>
  <c r="L5" i="19"/>
  <c r="D6" i="18"/>
  <c r="H4" i="15"/>
  <c r="C5" i="15" s="1"/>
  <c r="K4" i="15"/>
  <c r="M4" i="15"/>
  <c r="G4" i="13"/>
  <c r="H4" i="13"/>
  <c r="C5" i="13" s="1"/>
  <c r="M5" i="19" l="1"/>
  <c r="I5" i="19" s="1"/>
  <c r="D6" i="19" s="1"/>
  <c r="H5" i="19"/>
  <c r="C6" i="19" s="1"/>
  <c r="F6" i="18"/>
  <c r="E6" i="18"/>
  <c r="L6" i="18" s="1"/>
  <c r="I4" i="15"/>
  <c r="D5" i="15" s="1"/>
  <c r="F5" i="15" s="1"/>
  <c r="K4" i="13"/>
  <c r="I4" i="13"/>
  <c r="D5" i="13" s="1"/>
  <c r="E6" i="19" l="1"/>
  <c r="F6" i="19"/>
  <c r="G6" i="18"/>
  <c r="J6" i="18"/>
  <c r="H6" i="18" s="1"/>
  <c r="E5" i="15"/>
  <c r="J5" i="15"/>
  <c r="L5" i="15"/>
  <c r="G5" i="15"/>
  <c r="F5" i="13"/>
  <c r="E5" i="13"/>
  <c r="G6" i="19" l="1"/>
  <c r="J6" i="19"/>
  <c r="L6" i="19"/>
  <c r="C7" i="18"/>
  <c r="K6" i="18"/>
  <c r="I6" i="18" s="1"/>
  <c r="H5" i="15"/>
  <c r="C6" i="15" s="1"/>
  <c r="K5" i="15"/>
  <c r="M5" i="15"/>
  <c r="J5" i="13"/>
  <c r="H5" i="13"/>
  <c r="C6" i="13" s="1"/>
  <c r="G5" i="13"/>
  <c r="D4" i="3"/>
  <c r="C4" i="3"/>
  <c r="B6" i="1"/>
  <c r="C6" i="1" s="1"/>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5" i="1"/>
  <c r="C5" i="1" s="1"/>
  <c r="H6" i="19" l="1"/>
  <c r="C7" i="19" s="1"/>
  <c r="K6" i="19"/>
  <c r="M6" i="19"/>
  <c r="D7" i="18"/>
  <c r="I5" i="15"/>
  <c r="D6" i="15" s="1"/>
  <c r="F6" i="15" s="1"/>
  <c r="I5" i="13"/>
  <c r="D6" i="13" s="1"/>
  <c r="K5" i="13"/>
  <c r="G4" i="3"/>
  <c r="E4" i="3"/>
  <c r="I4" i="3"/>
  <c r="I6" i="19" l="1"/>
  <c r="D7" i="19" s="1"/>
  <c r="E7" i="18"/>
  <c r="L7" i="18" s="1"/>
  <c r="F7" i="18"/>
  <c r="E6" i="15"/>
  <c r="G6" i="15"/>
  <c r="L6" i="15"/>
  <c r="J6" i="15"/>
  <c r="F6" i="13"/>
  <c r="E6" i="13"/>
  <c r="F4" i="3"/>
  <c r="J4" i="3" s="1"/>
  <c r="K4" i="3"/>
  <c r="N4" i="3" s="1"/>
  <c r="C5" i="3" s="1"/>
  <c r="F7" i="19" l="1"/>
  <c r="E7" i="19"/>
  <c r="G7" i="18"/>
  <c r="J7" i="18"/>
  <c r="H7" i="18" s="1"/>
  <c r="H6" i="15"/>
  <c r="C7" i="15" s="1"/>
  <c r="M6" i="15"/>
  <c r="K6" i="15"/>
  <c r="H4" i="3"/>
  <c r="J6" i="13"/>
  <c r="H6" i="13"/>
  <c r="C7" i="13" s="1"/>
  <c r="G6" i="13"/>
  <c r="L4" i="3"/>
  <c r="M4" i="3" s="1"/>
  <c r="D5" i="3" s="1"/>
  <c r="G7" i="19" l="1"/>
  <c r="L7" i="19"/>
  <c r="J7" i="19"/>
  <c r="K7" i="18"/>
  <c r="I7" i="18" s="1"/>
  <c r="C8" i="18"/>
  <c r="I6" i="15"/>
  <c r="D7" i="15" s="1"/>
  <c r="K6" i="13"/>
  <c r="I6" i="13"/>
  <c r="D7" i="13" s="1"/>
  <c r="G5" i="3"/>
  <c r="I5" i="3"/>
  <c r="E5" i="3"/>
  <c r="H7" i="19" l="1"/>
  <c r="C8" i="19" s="1"/>
  <c r="M7" i="19"/>
  <c r="K7" i="19"/>
  <c r="D8" i="18"/>
  <c r="F7" i="15"/>
  <c r="E7" i="15"/>
  <c r="F7" i="13"/>
  <c r="E7" i="13"/>
  <c r="F5" i="3"/>
  <c r="J5" i="3" s="1"/>
  <c r="K5" i="3"/>
  <c r="N5" i="3" s="1"/>
  <c r="C6" i="3" s="1"/>
  <c r="I7" i="19" l="1"/>
  <c r="D8" i="19" s="1"/>
  <c r="E8" i="19" s="1"/>
  <c r="E8" i="18"/>
  <c r="L8" i="18" s="1"/>
  <c r="F8" i="18"/>
  <c r="J7" i="15"/>
  <c r="L7" i="15"/>
  <c r="G7" i="15"/>
  <c r="J7" i="13"/>
  <c r="H7" i="13"/>
  <c r="C8" i="13" s="1"/>
  <c r="G7" i="13"/>
  <c r="H5" i="3"/>
  <c r="L5" i="3"/>
  <c r="M5" i="3" s="1"/>
  <c r="D6" i="3" s="1"/>
  <c r="G6" i="3" s="1"/>
  <c r="F8" i="19" l="1"/>
  <c r="G8" i="18"/>
  <c r="J8" i="18"/>
  <c r="H8" i="18" s="1"/>
  <c r="H7" i="15"/>
  <c r="C8" i="15" s="1"/>
  <c r="M7" i="15"/>
  <c r="K7" i="15"/>
  <c r="K7" i="13"/>
  <c r="I7" i="13"/>
  <c r="D8" i="13" s="1"/>
  <c r="E8" i="13" s="1"/>
  <c r="E6" i="3"/>
  <c r="F6" i="3" s="1"/>
  <c r="I6" i="3"/>
  <c r="K6" i="3" l="1"/>
  <c r="N6" i="3" s="1"/>
  <c r="C7" i="3" s="1"/>
  <c r="G8" i="19"/>
  <c r="J8" i="19"/>
  <c r="L8" i="19"/>
  <c r="C9" i="18"/>
  <c r="K8" i="18"/>
  <c r="I8" i="18" s="1"/>
  <c r="I7" i="15"/>
  <c r="D8" i="15" s="1"/>
  <c r="E8" i="15" s="1"/>
  <c r="F8" i="13"/>
  <c r="J6" i="3"/>
  <c r="H6" i="3"/>
  <c r="L6" i="3" l="1"/>
  <c r="M6" i="3" s="1"/>
  <c r="D7" i="3" s="1"/>
  <c r="G7" i="3" s="1"/>
  <c r="H8" i="19"/>
  <c r="C9" i="19" s="1"/>
  <c r="M8" i="19"/>
  <c r="K8" i="19"/>
  <c r="D9" i="18"/>
  <c r="F8" i="15"/>
  <c r="J8" i="13"/>
  <c r="H8" i="13"/>
  <c r="C9" i="13" s="1"/>
  <c r="G8" i="13"/>
  <c r="I7" i="3" l="1"/>
  <c r="E7" i="3"/>
  <c r="F7" i="3" s="1"/>
  <c r="I8" i="19"/>
  <c r="D9" i="19" s="1"/>
  <c r="E9" i="18"/>
  <c r="L9" i="18" s="1"/>
  <c r="F9" i="18"/>
  <c r="L8" i="15"/>
  <c r="J8" i="15"/>
  <c r="G8" i="15"/>
  <c r="K8" i="13"/>
  <c r="I8" i="13"/>
  <c r="D9" i="13" s="1"/>
  <c r="K7" i="3" l="1"/>
  <c r="L7" i="3" s="1"/>
  <c r="M7" i="3" s="1"/>
  <c r="D8" i="3" s="1"/>
  <c r="F9" i="19"/>
  <c r="E9" i="19"/>
  <c r="G9" i="18"/>
  <c r="J9" i="18"/>
  <c r="H9" i="18" s="1"/>
  <c r="H8" i="15"/>
  <c r="C9" i="15" s="1"/>
  <c r="K8" i="15"/>
  <c r="M8" i="15"/>
  <c r="F9" i="13"/>
  <c r="E9" i="13"/>
  <c r="H7" i="3"/>
  <c r="J7" i="3"/>
  <c r="N7" i="3" l="1"/>
  <c r="C8" i="3" s="1"/>
  <c r="E8" i="3" s="1"/>
  <c r="K8" i="3" s="1"/>
  <c r="N8" i="3" s="1"/>
  <c r="C9" i="3" s="1"/>
  <c r="G9" i="19"/>
  <c r="L9" i="19"/>
  <c r="J9" i="19"/>
  <c r="C10" i="18"/>
  <c r="K9" i="18"/>
  <c r="I9" i="18" s="1"/>
  <c r="I8" i="15"/>
  <c r="D9" i="15" s="1"/>
  <c r="F9" i="15" s="1"/>
  <c r="J9" i="13"/>
  <c r="G9" i="13"/>
  <c r="H9" i="13"/>
  <c r="C10" i="13" s="1"/>
  <c r="I8" i="3" l="1"/>
  <c r="G8" i="3"/>
  <c r="H9" i="19"/>
  <c r="C10" i="19" s="1"/>
  <c r="M9" i="19"/>
  <c r="K9" i="19"/>
  <c r="D10" i="18"/>
  <c r="G9" i="15"/>
  <c r="L9" i="15"/>
  <c r="J9" i="15"/>
  <c r="E9" i="15"/>
  <c r="F8" i="3"/>
  <c r="K9" i="13"/>
  <c r="I9" i="13"/>
  <c r="D10" i="13" s="1"/>
  <c r="L8" i="3"/>
  <c r="M8" i="3" s="1"/>
  <c r="D9" i="3" s="1"/>
  <c r="E9" i="3" s="1"/>
  <c r="J8" i="3" l="1"/>
  <c r="I9" i="19"/>
  <c r="D10" i="19" s="1"/>
  <c r="E10" i="19" s="1"/>
  <c r="E10" i="18"/>
  <c r="L10" i="18" s="1"/>
  <c r="F10" i="18"/>
  <c r="K9" i="15"/>
  <c r="M9" i="15"/>
  <c r="H9" i="15"/>
  <c r="C10" i="15" s="1"/>
  <c r="H8" i="3"/>
  <c r="E10" i="13"/>
  <c r="F10" i="13"/>
  <c r="F9" i="3"/>
  <c r="K9" i="3"/>
  <c r="N9" i="3" s="1"/>
  <c r="G9" i="3"/>
  <c r="I9" i="3"/>
  <c r="F10" i="19" l="1"/>
  <c r="G10" i="18"/>
  <c r="J10" i="18"/>
  <c r="H10" i="18" s="1"/>
  <c r="I9" i="15"/>
  <c r="D10" i="15" s="1"/>
  <c r="F10" i="15" s="1"/>
  <c r="H9" i="3"/>
  <c r="J9" i="3"/>
  <c r="J10" i="13"/>
  <c r="G10" i="13"/>
  <c r="H10" i="13"/>
  <c r="C11" i="13" s="1"/>
  <c r="L9" i="3"/>
  <c r="M9" i="3" s="1"/>
  <c r="D10" i="3" s="1"/>
  <c r="C10" i="3"/>
  <c r="G10" i="19" l="1"/>
  <c r="J10" i="19"/>
  <c r="L10" i="19"/>
  <c r="C11" i="18"/>
  <c r="K10" i="18"/>
  <c r="I10" i="18" s="1"/>
  <c r="E10" i="15"/>
  <c r="J10" i="15"/>
  <c r="G10" i="15"/>
  <c r="L10" i="15"/>
  <c r="K10" i="13"/>
  <c r="I10" i="13"/>
  <c r="D11" i="13" s="1"/>
  <c r="E10" i="3"/>
  <c r="I10" i="3"/>
  <c r="G10" i="3"/>
  <c r="H10" i="19" l="1"/>
  <c r="C11" i="19" s="1"/>
  <c r="M10" i="19"/>
  <c r="K10" i="19"/>
  <c r="D11" i="18"/>
  <c r="K10" i="15"/>
  <c r="H10" i="15"/>
  <c r="C11" i="15" s="1"/>
  <c r="M10" i="15"/>
  <c r="F11" i="13"/>
  <c r="E11" i="13"/>
  <c r="F10" i="3"/>
  <c r="H10" i="3" s="1"/>
  <c r="K10" i="3"/>
  <c r="L10" i="3" s="1"/>
  <c r="M10" i="3" s="1"/>
  <c r="D11" i="3" s="1"/>
  <c r="I10" i="19" l="1"/>
  <c r="D11" i="19" s="1"/>
  <c r="E11" i="19" s="1"/>
  <c r="E11" i="18"/>
  <c r="L11" i="18" s="1"/>
  <c r="F11" i="18"/>
  <c r="I10" i="15"/>
  <c r="D11" i="15" s="1"/>
  <c r="E11" i="15" s="1"/>
  <c r="J11" i="13"/>
  <c r="G11" i="13"/>
  <c r="H11" i="13"/>
  <c r="C12" i="13" s="1"/>
  <c r="J10" i="3"/>
  <c r="N10" i="3"/>
  <c r="C11" i="3" s="1"/>
  <c r="E11" i="3" s="1"/>
  <c r="F11" i="19" l="1"/>
  <c r="G11" i="18"/>
  <c r="J11" i="18"/>
  <c r="F11" i="15"/>
  <c r="K11" i="13"/>
  <c r="I11" i="13"/>
  <c r="D12" i="13" s="1"/>
  <c r="G11" i="3"/>
  <c r="F11" i="3"/>
  <c r="K11" i="3"/>
  <c r="L11" i="3" s="1"/>
  <c r="M11" i="3" s="1"/>
  <c r="D12" i="3" s="1"/>
  <c r="I11" i="3"/>
  <c r="H11" i="18" l="1"/>
  <c r="C12" i="18" s="1"/>
  <c r="G11" i="19"/>
  <c r="L11" i="19"/>
  <c r="J11" i="19"/>
  <c r="K11" i="18"/>
  <c r="I11" i="18" s="1"/>
  <c r="G11" i="15"/>
  <c r="L11" i="15"/>
  <c r="J11" i="15"/>
  <c r="E12" i="13"/>
  <c r="F12" i="13"/>
  <c r="J11" i="3"/>
  <c r="H11" i="3"/>
  <c r="N11" i="3"/>
  <c r="C12" i="3" s="1"/>
  <c r="I12" i="3" s="1"/>
  <c r="H11" i="19" l="1"/>
  <c r="C12" i="19" s="1"/>
  <c r="M11" i="19"/>
  <c r="K11" i="19"/>
  <c r="D12" i="18"/>
  <c r="K11" i="15"/>
  <c r="M11" i="15"/>
  <c r="H11" i="15"/>
  <c r="C12" i="15" s="1"/>
  <c r="J12" i="13"/>
  <c r="H12" i="13"/>
  <c r="C13" i="13" s="1"/>
  <c r="G12" i="13"/>
  <c r="E12" i="3"/>
  <c r="G12" i="3"/>
  <c r="I11" i="19" l="1"/>
  <c r="D12" i="19" s="1"/>
  <c r="E12" i="18"/>
  <c r="L12" i="18" s="1"/>
  <c r="F12" i="18"/>
  <c r="J12" i="18" s="1"/>
  <c r="I11" i="15"/>
  <c r="D12" i="15" s="1"/>
  <c r="E12" i="15" s="1"/>
  <c r="K12" i="13"/>
  <c r="I12" i="13"/>
  <c r="D13" i="13" s="1"/>
  <c r="E13" i="13" s="1"/>
  <c r="F12" i="3"/>
  <c r="J12" i="3" s="1"/>
  <c r="K12" i="3"/>
  <c r="F12" i="19" l="1"/>
  <c r="E12" i="19"/>
  <c r="G12" i="18"/>
  <c r="H12" i="18"/>
  <c r="F12" i="15"/>
  <c r="F13" i="13"/>
  <c r="L12" i="3"/>
  <c r="M12" i="3" s="1"/>
  <c r="D13" i="3" s="1"/>
  <c r="N12" i="3"/>
  <c r="C13" i="3" s="1"/>
  <c r="H12" i="3"/>
  <c r="G12" i="19" l="1"/>
  <c r="J12" i="19"/>
  <c r="L12" i="19"/>
  <c r="C13" i="18"/>
  <c r="K12" i="18"/>
  <c r="I12" i="18" s="1"/>
  <c r="L12" i="15"/>
  <c r="G12" i="15"/>
  <c r="J12" i="15"/>
  <c r="J13" i="13"/>
  <c r="G13" i="13"/>
  <c r="H13" i="13"/>
  <c r="C14" i="13" s="1"/>
  <c r="E13" i="3"/>
  <c r="G13" i="3"/>
  <c r="I13" i="3"/>
  <c r="H12" i="19" l="1"/>
  <c r="C13" i="19" s="1"/>
  <c r="K12" i="19"/>
  <c r="M12" i="19"/>
  <c r="D13" i="18"/>
  <c r="H12" i="15"/>
  <c r="C13" i="15" s="1"/>
  <c r="K12" i="15"/>
  <c r="M12" i="15"/>
  <c r="K13" i="13"/>
  <c r="I13" i="13"/>
  <c r="D14" i="13" s="1"/>
  <c r="F13" i="3"/>
  <c r="H13" i="3" s="1"/>
  <c r="K13" i="3"/>
  <c r="I12" i="19" l="1"/>
  <c r="D13" i="19" s="1"/>
  <c r="F13" i="18"/>
  <c r="E13" i="18"/>
  <c r="L13" i="18" s="1"/>
  <c r="I12" i="15"/>
  <c r="D13" i="15" s="1"/>
  <c r="F13" i="15" s="1"/>
  <c r="F14" i="13"/>
  <c r="E14" i="13"/>
  <c r="J13" i="3"/>
  <c r="L13" i="3"/>
  <c r="M13" i="3" s="1"/>
  <c r="D14" i="3" s="1"/>
  <c r="N13" i="3"/>
  <c r="C14" i="3" s="1"/>
  <c r="F13" i="19" l="1"/>
  <c r="E13" i="19"/>
  <c r="G13" i="18"/>
  <c r="J13" i="18"/>
  <c r="H13" i="18" s="1"/>
  <c r="E13" i="15"/>
  <c r="J13" i="15"/>
  <c r="L13" i="15"/>
  <c r="G13" i="15"/>
  <c r="J14" i="13"/>
  <c r="G14" i="13"/>
  <c r="H14" i="13"/>
  <c r="C15" i="13" s="1"/>
  <c r="G14" i="3"/>
  <c r="E14" i="3"/>
  <c r="I14" i="3"/>
  <c r="G13" i="19" l="1"/>
  <c r="L13" i="19"/>
  <c r="J13" i="19"/>
  <c r="K13" i="18"/>
  <c r="I13" i="18" s="1"/>
  <c r="C14" i="18"/>
  <c r="H13" i="15"/>
  <c r="C14" i="15" s="1"/>
  <c r="K13" i="15"/>
  <c r="M13" i="15"/>
  <c r="K14" i="13"/>
  <c r="I14" i="13"/>
  <c r="D15" i="13" s="1"/>
  <c r="E15" i="13" s="1"/>
  <c r="F14" i="3"/>
  <c r="J14" i="3" s="1"/>
  <c r="K14" i="3"/>
  <c r="H13" i="19" l="1"/>
  <c r="C14" i="19" s="1"/>
  <c r="M13" i="19"/>
  <c r="K13" i="19"/>
  <c r="D14" i="18"/>
  <c r="I13" i="15"/>
  <c r="D14" i="15" s="1"/>
  <c r="E14" i="15" s="1"/>
  <c r="F15" i="13"/>
  <c r="H14" i="3"/>
  <c r="L14" i="3"/>
  <c r="M14" i="3" s="1"/>
  <c r="D15" i="3" s="1"/>
  <c r="N14" i="3"/>
  <c r="C15" i="3" s="1"/>
  <c r="I13" i="19" l="1"/>
  <c r="D14" i="19" s="1"/>
  <c r="F14" i="18"/>
  <c r="E14" i="18"/>
  <c r="L14" i="18" s="1"/>
  <c r="F14" i="15"/>
  <c r="L14" i="15" s="1"/>
  <c r="J15" i="13"/>
  <c r="H15" i="13"/>
  <c r="C16" i="13" s="1"/>
  <c r="G15" i="13"/>
  <c r="G15" i="3"/>
  <c r="E15" i="3"/>
  <c r="I15" i="3"/>
  <c r="F14" i="19" l="1"/>
  <c r="E14" i="19"/>
  <c r="G14" i="18"/>
  <c r="J14" i="18"/>
  <c r="H14" i="18" s="1"/>
  <c r="J14" i="15"/>
  <c r="H14" i="15" s="1"/>
  <c r="C15" i="15" s="1"/>
  <c r="G14" i="15"/>
  <c r="K15" i="13"/>
  <c r="I15" i="13"/>
  <c r="D16" i="13" s="1"/>
  <c r="F15" i="3"/>
  <c r="J15" i="3" s="1"/>
  <c r="K15" i="3"/>
  <c r="G14" i="19" l="1"/>
  <c r="J14" i="19"/>
  <c r="L14" i="19"/>
  <c r="C15" i="18"/>
  <c r="K14" i="18"/>
  <c r="I14" i="18" s="1"/>
  <c r="M14" i="15"/>
  <c r="K14" i="15"/>
  <c r="F16" i="13"/>
  <c r="E16" i="13"/>
  <c r="H15" i="3"/>
  <c r="L15" i="3"/>
  <c r="M15" i="3" s="1"/>
  <c r="D16" i="3" s="1"/>
  <c r="N15" i="3"/>
  <c r="C16" i="3" s="1"/>
  <c r="H14" i="19" l="1"/>
  <c r="C15" i="19" s="1"/>
  <c r="M14" i="19"/>
  <c r="K14" i="19"/>
  <c r="D15" i="18"/>
  <c r="I14" i="15"/>
  <c r="D15" i="15" s="1"/>
  <c r="F15" i="15" s="1"/>
  <c r="J16" i="13"/>
  <c r="G16" i="13"/>
  <c r="H16" i="13"/>
  <c r="C17" i="13" s="1"/>
  <c r="G16" i="3"/>
  <c r="E16" i="3"/>
  <c r="I16" i="3"/>
  <c r="I14" i="19" l="1"/>
  <c r="D15" i="19" s="1"/>
  <c r="E15" i="19" s="1"/>
  <c r="E15" i="18"/>
  <c r="L15" i="18" s="1"/>
  <c r="F15" i="18"/>
  <c r="E15" i="15"/>
  <c r="J15" i="15"/>
  <c r="L15" i="15"/>
  <c r="G15" i="15"/>
  <c r="K16" i="13"/>
  <c r="I16" i="13"/>
  <c r="D17" i="13" s="1"/>
  <c r="F16" i="3"/>
  <c r="J16" i="3" s="1"/>
  <c r="K16" i="3"/>
  <c r="F15" i="19" l="1"/>
  <c r="G15" i="18"/>
  <c r="J15" i="18"/>
  <c r="H15" i="18" s="1"/>
  <c r="H15" i="15"/>
  <c r="C16" i="15" s="1"/>
  <c r="M15" i="15"/>
  <c r="K15" i="15"/>
  <c r="F17" i="13"/>
  <c r="E17" i="13"/>
  <c r="H16" i="3"/>
  <c r="L16" i="3"/>
  <c r="M16" i="3" s="1"/>
  <c r="D17" i="3" s="1"/>
  <c r="N16" i="3"/>
  <c r="C17" i="3" s="1"/>
  <c r="G15" i="19" l="1"/>
  <c r="L15" i="19"/>
  <c r="J15" i="19"/>
  <c r="C16" i="18"/>
  <c r="K15" i="18"/>
  <c r="I15" i="18" s="1"/>
  <c r="I15" i="15"/>
  <c r="D16" i="15" s="1"/>
  <c r="J17" i="13"/>
  <c r="G17" i="13"/>
  <c r="H17" i="13"/>
  <c r="C18" i="13" s="1"/>
  <c r="G17" i="3"/>
  <c r="E17" i="3"/>
  <c r="I17" i="3"/>
  <c r="H15" i="19" l="1"/>
  <c r="C16" i="19" s="1"/>
  <c r="M15" i="19"/>
  <c r="K15" i="19"/>
  <c r="D16" i="18"/>
  <c r="E16" i="15"/>
  <c r="F16" i="15"/>
  <c r="K17" i="13"/>
  <c r="I17" i="13"/>
  <c r="D18" i="13" s="1"/>
  <c r="F17" i="3"/>
  <c r="H17" i="3" s="1"/>
  <c r="K17" i="3"/>
  <c r="I15" i="19" l="1"/>
  <c r="D16" i="19" s="1"/>
  <c r="E16" i="18"/>
  <c r="L16" i="18" s="1"/>
  <c r="F16" i="18"/>
  <c r="L16" i="15"/>
  <c r="G16" i="15"/>
  <c r="J16" i="15"/>
  <c r="F18" i="13"/>
  <c r="E18" i="13"/>
  <c r="J17" i="3"/>
  <c r="L17" i="3"/>
  <c r="M17" i="3" s="1"/>
  <c r="D18" i="3" s="1"/>
  <c r="N17" i="3"/>
  <c r="C18" i="3" s="1"/>
  <c r="F16" i="19" l="1"/>
  <c r="E16" i="19"/>
  <c r="G16" i="18"/>
  <c r="J16" i="18"/>
  <c r="H16" i="18" s="1"/>
  <c r="H16" i="15"/>
  <c r="C17" i="15" s="1"/>
  <c r="M16" i="15"/>
  <c r="K16" i="15"/>
  <c r="J18" i="13"/>
  <c r="G18" i="13"/>
  <c r="H18" i="13"/>
  <c r="C19" i="13" s="1"/>
  <c r="G18" i="3"/>
  <c r="E18" i="3"/>
  <c r="I18" i="3"/>
  <c r="G16" i="19" l="1"/>
  <c r="J16" i="19"/>
  <c r="L16" i="19"/>
  <c r="C17" i="18"/>
  <c r="K16" i="18"/>
  <c r="I16" i="18" s="1"/>
  <c r="I16" i="15"/>
  <c r="D17" i="15" s="1"/>
  <c r="F17" i="15" s="1"/>
  <c r="J17" i="15" s="1"/>
  <c r="K18" i="13"/>
  <c r="I18" i="13"/>
  <c r="D19" i="13" s="1"/>
  <c r="F18" i="3"/>
  <c r="J18" i="3" s="1"/>
  <c r="K18" i="3"/>
  <c r="H16" i="19" l="1"/>
  <c r="C17" i="19" s="1"/>
  <c r="M16" i="19"/>
  <c r="K16" i="19"/>
  <c r="D17" i="18"/>
  <c r="G17" i="15"/>
  <c r="K17" i="15" s="1"/>
  <c r="E17" i="15"/>
  <c r="L17" i="15"/>
  <c r="H17" i="15" s="1"/>
  <c r="C18" i="15" s="1"/>
  <c r="E19" i="13"/>
  <c r="F19" i="13"/>
  <c r="H18" i="3"/>
  <c r="L18" i="3"/>
  <c r="M18" i="3" s="1"/>
  <c r="D19" i="3" s="1"/>
  <c r="N18" i="3"/>
  <c r="C19" i="3" s="1"/>
  <c r="I16" i="19" l="1"/>
  <c r="D17" i="19" s="1"/>
  <c r="F17" i="18"/>
  <c r="E17" i="18"/>
  <c r="L17" i="18" s="1"/>
  <c r="M17" i="15"/>
  <c r="I17" i="15" s="1"/>
  <c r="D18" i="15" s="1"/>
  <c r="J19" i="13"/>
  <c r="H19" i="13"/>
  <c r="C20" i="13" s="1"/>
  <c r="G19" i="13"/>
  <c r="G19" i="3"/>
  <c r="E19" i="3"/>
  <c r="I19" i="3"/>
  <c r="F17" i="19" l="1"/>
  <c r="E17" i="19"/>
  <c r="G17" i="18"/>
  <c r="J17" i="18"/>
  <c r="H17" i="18" s="1"/>
  <c r="F18" i="15"/>
  <c r="E18" i="15"/>
  <c r="K19" i="13"/>
  <c r="I19" i="13"/>
  <c r="D20" i="13" s="1"/>
  <c r="F19" i="3"/>
  <c r="J19" i="3" s="1"/>
  <c r="K19" i="3"/>
  <c r="G17" i="19" l="1"/>
  <c r="L17" i="19"/>
  <c r="J17" i="19"/>
  <c r="C18" i="18"/>
  <c r="K17" i="18"/>
  <c r="I17" i="18" s="1"/>
  <c r="J18" i="15"/>
  <c r="G18" i="15"/>
  <c r="L18" i="15"/>
  <c r="E20" i="13"/>
  <c r="F20" i="13"/>
  <c r="L19" i="3"/>
  <c r="M19" i="3" s="1"/>
  <c r="D20" i="3" s="1"/>
  <c r="N19" i="3"/>
  <c r="C20" i="3" s="1"/>
  <c r="H19" i="3"/>
  <c r="H17" i="19" l="1"/>
  <c r="C18" i="19" s="1"/>
  <c r="K17" i="19"/>
  <c r="M17" i="19"/>
  <c r="D18" i="18"/>
  <c r="M18" i="15"/>
  <c r="K18" i="15"/>
  <c r="H18" i="15"/>
  <c r="C19" i="15" s="1"/>
  <c r="J20" i="13"/>
  <c r="H20" i="13"/>
  <c r="C21" i="13" s="1"/>
  <c r="G20" i="13"/>
  <c r="G20" i="3"/>
  <c r="E20" i="3"/>
  <c r="I20" i="3"/>
  <c r="I17" i="19" l="1"/>
  <c r="D18" i="19" s="1"/>
  <c r="E18" i="19" s="1"/>
  <c r="F18" i="18"/>
  <c r="E18" i="18"/>
  <c r="L18" i="18" s="1"/>
  <c r="I18" i="15"/>
  <c r="D19" i="15" s="1"/>
  <c r="F19" i="15" s="1"/>
  <c r="K20" i="13"/>
  <c r="I20" i="13"/>
  <c r="D21" i="13" s="1"/>
  <c r="F20" i="3"/>
  <c r="H20" i="3" s="1"/>
  <c r="K20" i="3"/>
  <c r="F18" i="19" l="1"/>
  <c r="G18" i="18"/>
  <c r="J18" i="18"/>
  <c r="H18" i="18" s="1"/>
  <c r="E19" i="15"/>
  <c r="G19" i="15"/>
  <c r="J19" i="15"/>
  <c r="L19" i="15"/>
  <c r="E21" i="13"/>
  <c r="F21" i="13"/>
  <c r="J20" i="3"/>
  <c r="L20" i="3"/>
  <c r="M20" i="3" s="1"/>
  <c r="D21" i="3" s="1"/>
  <c r="N20" i="3"/>
  <c r="C21" i="3" s="1"/>
  <c r="G18" i="19" l="1"/>
  <c r="J18" i="19"/>
  <c r="L18" i="19"/>
  <c r="C19" i="18"/>
  <c r="K18" i="18"/>
  <c r="I18" i="18" s="1"/>
  <c r="H19" i="15"/>
  <c r="C20" i="15" s="1"/>
  <c r="M19" i="15"/>
  <c r="K19" i="15"/>
  <c r="J21" i="13"/>
  <c r="H21" i="13"/>
  <c r="C22" i="13" s="1"/>
  <c r="G21" i="13"/>
  <c r="G21" i="3"/>
  <c r="E21" i="3"/>
  <c r="I21" i="3"/>
  <c r="H18" i="19" l="1"/>
  <c r="C19" i="19" s="1"/>
  <c r="M18" i="19"/>
  <c r="K18" i="19"/>
  <c r="D19" i="18"/>
  <c r="I19" i="15"/>
  <c r="D20" i="15" s="1"/>
  <c r="E20" i="15" s="1"/>
  <c r="K21" i="13"/>
  <c r="I21" i="13"/>
  <c r="D22" i="13" s="1"/>
  <c r="F21" i="3"/>
  <c r="J21" i="3" s="1"/>
  <c r="K21" i="3"/>
  <c r="I18" i="19" l="1"/>
  <c r="D19" i="19" s="1"/>
  <c r="E19" i="18"/>
  <c r="L19" i="18" s="1"/>
  <c r="F19" i="18"/>
  <c r="F20" i="15"/>
  <c r="J20" i="15" s="1"/>
  <c r="F22" i="13"/>
  <c r="E22" i="13"/>
  <c r="H21" i="3"/>
  <c r="L21" i="3"/>
  <c r="M21" i="3" s="1"/>
  <c r="D22" i="3" s="1"/>
  <c r="N21" i="3"/>
  <c r="C22" i="3" s="1"/>
  <c r="F19" i="19" l="1"/>
  <c r="E19" i="19"/>
  <c r="G19" i="18"/>
  <c r="J19" i="18"/>
  <c r="H19" i="18" s="1"/>
  <c r="L20" i="15"/>
  <c r="H20" i="15" s="1"/>
  <c r="C21" i="15" s="1"/>
  <c r="G20" i="15"/>
  <c r="J22" i="13"/>
  <c r="G22" i="13"/>
  <c r="H22" i="13"/>
  <c r="C23" i="13" s="1"/>
  <c r="G22" i="3"/>
  <c r="E22" i="3"/>
  <c r="I22" i="3"/>
  <c r="G19" i="19" l="1"/>
  <c r="L19" i="19"/>
  <c r="J19" i="19"/>
  <c r="C20" i="18"/>
  <c r="K19" i="18"/>
  <c r="I19" i="18" s="1"/>
  <c r="M20" i="15"/>
  <c r="K20" i="15"/>
  <c r="K22" i="13"/>
  <c r="I22" i="13"/>
  <c r="D23" i="13" s="1"/>
  <c r="F22" i="3"/>
  <c r="J22" i="3" s="1"/>
  <c r="K22" i="3"/>
  <c r="H19" i="19" l="1"/>
  <c r="C20" i="19" s="1"/>
  <c r="M19" i="19"/>
  <c r="K19" i="19"/>
  <c r="D20" i="18"/>
  <c r="I20" i="15"/>
  <c r="D21" i="15" s="1"/>
  <c r="E21" i="15" s="1"/>
  <c r="F23" i="13"/>
  <c r="E23" i="13"/>
  <c r="H22" i="3"/>
  <c r="L22" i="3"/>
  <c r="M22" i="3" s="1"/>
  <c r="D23" i="3" s="1"/>
  <c r="N22" i="3"/>
  <c r="C23" i="3" s="1"/>
  <c r="I19" i="19" l="1"/>
  <c r="D20" i="19" s="1"/>
  <c r="E20" i="19" s="1"/>
  <c r="F20" i="18"/>
  <c r="E20" i="18"/>
  <c r="L20" i="18" s="1"/>
  <c r="F21" i="15"/>
  <c r="G21" i="15" s="1"/>
  <c r="J23" i="13"/>
  <c r="G23" i="13"/>
  <c r="H23" i="13"/>
  <c r="C24" i="13" s="1"/>
  <c r="G23" i="3"/>
  <c r="E23" i="3"/>
  <c r="I23" i="3"/>
  <c r="F20" i="19" l="1"/>
  <c r="G20" i="18"/>
  <c r="J20" i="18"/>
  <c r="H20" i="18" s="1"/>
  <c r="J21" i="15"/>
  <c r="L21" i="15"/>
  <c r="K21" i="15"/>
  <c r="M21" i="15"/>
  <c r="K23" i="13"/>
  <c r="I23" i="13"/>
  <c r="D24" i="13" s="1"/>
  <c r="F23" i="3"/>
  <c r="J23" i="3" s="1"/>
  <c r="K23" i="3"/>
  <c r="G20" i="19" l="1"/>
  <c r="J20" i="19"/>
  <c r="L20" i="19"/>
  <c r="C21" i="18"/>
  <c r="K20" i="18"/>
  <c r="I20" i="18" s="1"/>
  <c r="H21" i="15"/>
  <c r="C22" i="15" s="1"/>
  <c r="I21" i="15"/>
  <c r="D22" i="15" s="1"/>
  <c r="E24" i="13"/>
  <c r="F24" i="13"/>
  <c r="H23" i="3"/>
  <c r="L23" i="3"/>
  <c r="M23" i="3" s="1"/>
  <c r="D24" i="3" s="1"/>
  <c r="N23" i="3"/>
  <c r="C24" i="3" s="1"/>
  <c r="H20" i="19" l="1"/>
  <c r="C21" i="19" s="1"/>
  <c r="M20" i="19"/>
  <c r="K20" i="19"/>
  <c r="D21" i="18"/>
  <c r="F22" i="15"/>
  <c r="E22" i="15"/>
  <c r="J24" i="13"/>
  <c r="G24" i="13"/>
  <c r="H24" i="13"/>
  <c r="C25" i="13" s="1"/>
  <c r="G24" i="3"/>
  <c r="E24" i="3"/>
  <c r="I24" i="3"/>
  <c r="I20" i="19" l="1"/>
  <c r="D21" i="19" s="1"/>
  <c r="E21" i="19" s="1"/>
  <c r="E21" i="18"/>
  <c r="L21" i="18" s="1"/>
  <c r="F21" i="18"/>
  <c r="G22" i="15"/>
  <c r="M22" i="15" s="1"/>
  <c r="J22" i="15"/>
  <c r="L22" i="15"/>
  <c r="K24" i="13"/>
  <c r="I24" i="13"/>
  <c r="D25" i="13" s="1"/>
  <c r="F24" i="3"/>
  <c r="H24" i="3" s="1"/>
  <c r="K24" i="3"/>
  <c r="F21" i="19" l="1"/>
  <c r="G21" i="18"/>
  <c r="J21" i="18"/>
  <c r="H21" i="18" s="1"/>
  <c r="H22" i="15"/>
  <c r="C23" i="15" s="1"/>
  <c r="K22" i="15"/>
  <c r="I22" i="15" s="1"/>
  <c r="D23" i="15" s="1"/>
  <c r="E25" i="13"/>
  <c r="F25" i="13"/>
  <c r="J24" i="3"/>
  <c r="L24" i="3"/>
  <c r="M24" i="3" s="1"/>
  <c r="D25" i="3" s="1"/>
  <c r="N24" i="3"/>
  <c r="C25" i="3" s="1"/>
  <c r="G21" i="19" l="1"/>
  <c r="L21" i="19"/>
  <c r="J21" i="19"/>
  <c r="C22" i="18"/>
  <c r="K21" i="18"/>
  <c r="I21" i="18" s="1"/>
  <c r="F23" i="15"/>
  <c r="E23" i="15"/>
  <c r="J25" i="13"/>
  <c r="H25" i="13"/>
  <c r="C26" i="13" s="1"/>
  <c r="G25" i="13"/>
  <c r="G25" i="3"/>
  <c r="E25" i="3"/>
  <c r="I25" i="3"/>
  <c r="H21" i="19" l="1"/>
  <c r="C22" i="19" s="1"/>
  <c r="M21" i="19"/>
  <c r="K21" i="19"/>
  <c r="D22" i="18"/>
  <c r="J23" i="15"/>
  <c r="G23" i="15"/>
  <c r="L23" i="15"/>
  <c r="K25" i="13"/>
  <c r="I25" i="13"/>
  <c r="D26" i="13" s="1"/>
  <c r="F25" i="3"/>
  <c r="J25" i="3" s="1"/>
  <c r="K25" i="3"/>
  <c r="I21" i="19" l="1"/>
  <c r="D22" i="19" s="1"/>
  <c r="E22" i="19" s="1"/>
  <c r="E22" i="18"/>
  <c r="L22" i="18" s="1"/>
  <c r="F22" i="18"/>
  <c r="M23" i="15"/>
  <c r="H23" i="15"/>
  <c r="C24" i="15" s="1"/>
  <c r="K23" i="15"/>
  <c r="E26" i="13"/>
  <c r="F26" i="13"/>
  <c r="L25" i="3"/>
  <c r="M25" i="3" s="1"/>
  <c r="D26" i="3" s="1"/>
  <c r="N25" i="3"/>
  <c r="C26" i="3" s="1"/>
  <c r="H25" i="3"/>
  <c r="F22" i="19" l="1"/>
  <c r="G22" i="18"/>
  <c r="J22" i="18"/>
  <c r="H22" i="18" s="1"/>
  <c r="I23" i="15"/>
  <c r="D24" i="15" s="1"/>
  <c r="E24" i="15" s="1"/>
  <c r="J26" i="13"/>
  <c r="H26" i="13"/>
  <c r="C27" i="13" s="1"/>
  <c r="G26" i="13"/>
  <c r="G26" i="3"/>
  <c r="E26" i="3"/>
  <c r="I26" i="3"/>
  <c r="G22" i="19" l="1"/>
  <c r="J22" i="19"/>
  <c r="L22" i="19"/>
  <c r="C23" i="18"/>
  <c r="K22" i="18"/>
  <c r="I22" i="18" s="1"/>
  <c r="F24" i="15"/>
  <c r="K26" i="13"/>
  <c r="I26" i="13"/>
  <c r="D27" i="13" s="1"/>
  <c r="F26" i="3"/>
  <c r="J26" i="3" s="1"/>
  <c r="K26" i="3"/>
  <c r="H22" i="19" l="1"/>
  <c r="C23" i="19" s="1"/>
  <c r="M22" i="19"/>
  <c r="K22" i="19"/>
  <c r="D23" i="18"/>
  <c r="L24" i="15"/>
  <c r="G24" i="15"/>
  <c r="M24" i="15" s="1"/>
  <c r="J24" i="15"/>
  <c r="E27" i="13"/>
  <c r="F27" i="13"/>
  <c r="H26" i="3"/>
  <c r="L26" i="3"/>
  <c r="M26" i="3" s="1"/>
  <c r="D27" i="3" s="1"/>
  <c r="N26" i="3"/>
  <c r="C27" i="3" s="1"/>
  <c r="I22" i="19" l="1"/>
  <c r="D23" i="19" s="1"/>
  <c r="E23" i="19" s="1"/>
  <c r="E23" i="18"/>
  <c r="L23" i="18" s="1"/>
  <c r="F23" i="18"/>
  <c r="K24" i="15"/>
  <c r="I24" i="15" s="1"/>
  <c r="D25" i="15" s="1"/>
  <c r="H24" i="15"/>
  <c r="C25" i="15" s="1"/>
  <c r="J27" i="13"/>
  <c r="G27" i="13"/>
  <c r="H27" i="13"/>
  <c r="C28" i="13" s="1"/>
  <c r="E27" i="3"/>
  <c r="G27" i="3"/>
  <c r="I27" i="3"/>
  <c r="F23" i="19" l="1"/>
  <c r="G23" i="18"/>
  <c r="J23" i="18"/>
  <c r="H23" i="18" s="1"/>
  <c r="E25" i="15"/>
  <c r="F25" i="15"/>
  <c r="K27" i="13"/>
  <c r="I27" i="13"/>
  <c r="D28" i="13" s="1"/>
  <c r="F27" i="3"/>
  <c r="J27" i="3" s="1"/>
  <c r="K27" i="3"/>
  <c r="G23" i="19" l="1"/>
  <c r="L23" i="19"/>
  <c r="J23" i="19"/>
  <c r="C24" i="18"/>
  <c r="K23" i="18"/>
  <c r="I23" i="18" s="1"/>
  <c r="J25" i="15"/>
  <c r="L25" i="15"/>
  <c r="G25" i="15"/>
  <c r="M25" i="15" s="1"/>
  <c r="F28" i="13"/>
  <c r="E28" i="13"/>
  <c r="L27" i="3"/>
  <c r="M27" i="3" s="1"/>
  <c r="D28" i="3" s="1"/>
  <c r="N27" i="3"/>
  <c r="C28" i="3" s="1"/>
  <c r="H27" i="3"/>
  <c r="M23" i="19" l="1"/>
  <c r="K23" i="19"/>
  <c r="H23" i="19"/>
  <c r="C24" i="19" s="1"/>
  <c r="D24" i="18"/>
  <c r="H25" i="15"/>
  <c r="C26" i="15" s="1"/>
  <c r="K25" i="15"/>
  <c r="I25" i="15" s="1"/>
  <c r="D26" i="15" s="1"/>
  <c r="J28" i="13"/>
  <c r="G28" i="13"/>
  <c r="H28" i="13"/>
  <c r="C29" i="13" s="1"/>
  <c r="G28" i="3"/>
  <c r="E28" i="3"/>
  <c r="I28" i="3"/>
  <c r="I23" i="19" l="1"/>
  <c r="D24" i="19" s="1"/>
  <c r="F24" i="18"/>
  <c r="E24" i="18"/>
  <c r="L24" i="18" s="1"/>
  <c r="F26" i="15"/>
  <c r="E26" i="15"/>
  <c r="K28" i="13"/>
  <c r="I28" i="13"/>
  <c r="D29" i="13" s="1"/>
  <c r="F28" i="3"/>
  <c r="H28" i="3" s="1"/>
  <c r="K28" i="3"/>
  <c r="F24" i="19" l="1"/>
  <c r="E24" i="19"/>
  <c r="G24" i="18"/>
  <c r="J24" i="18"/>
  <c r="H24" i="18" s="1"/>
  <c r="G26" i="15"/>
  <c r="L26" i="15"/>
  <c r="J26" i="15"/>
  <c r="F29" i="13"/>
  <c r="E29" i="13"/>
  <c r="J28" i="3"/>
  <c r="L28" i="3"/>
  <c r="M28" i="3" s="1"/>
  <c r="D29" i="3" s="1"/>
  <c r="N28" i="3"/>
  <c r="C29" i="3" s="1"/>
  <c r="G24" i="19" l="1"/>
  <c r="L24" i="19"/>
  <c r="J24" i="19"/>
  <c r="C25" i="18"/>
  <c r="K24" i="18"/>
  <c r="I24" i="18" s="1"/>
  <c r="M26" i="15"/>
  <c r="K26" i="15"/>
  <c r="H26" i="15"/>
  <c r="C27" i="15" s="1"/>
  <c r="J29" i="13"/>
  <c r="G29" i="13"/>
  <c r="H29" i="13"/>
  <c r="C30" i="13" s="1"/>
  <c r="G29" i="3"/>
  <c r="E29" i="3"/>
  <c r="I29" i="3"/>
  <c r="H24" i="19" l="1"/>
  <c r="C25" i="19" s="1"/>
  <c r="M24" i="19"/>
  <c r="K24" i="19"/>
  <c r="D25" i="18"/>
  <c r="I26" i="15"/>
  <c r="D27" i="15" s="1"/>
  <c r="E27" i="15" s="1"/>
  <c r="K29" i="13"/>
  <c r="I29" i="13"/>
  <c r="D30" i="13" s="1"/>
  <c r="F29" i="3"/>
  <c r="J29" i="3" s="1"/>
  <c r="K29" i="3"/>
  <c r="I24" i="19" l="1"/>
  <c r="D25" i="19" s="1"/>
  <c r="F25" i="18"/>
  <c r="E25" i="18"/>
  <c r="L25" i="18" s="1"/>
  <c r="F27" i="15"/>
  <c r="G27" i="15" s="1"/>
  <c r="M27" i="15" s="1"/>
  <c r="F30" i="13"/>
  <c r="E30" i="13"/>
  <c r="H29" i="3"/>
  <c r="L29" i="3"/>
  <c r="M29" i="3" s="1"/>
  <c r="D30" i="3" s="1"/>
  <c r="N29" i="3"/>
  <c r="C30" i="3" s="1"/>
  <c r="F25" i="19" l="1"/>
  <c r="E25" i="19"/>
  <c r="G25" i="18"/>
  <c r="J25" i="18"/>
  <c r="H25" i="18" s="1"/>
  <c r="J27" i="15"/>
  <c r="K27" i="15"/>
  <c r="I27" i="15" s="1"/>
  <c r="D28" i="15" s="1"/>
  <c r="L27" i="15"/>
  <c r="J30" i="13"/>
  <c r="H30" i="13"/>
  <c r="C31" i="13" s="1"/>
  <c r="G30" i="13"/>
  <c r="G30" i="3"/>
  <c r="E30" i="3"/>
  <c r="I30" i="3"/>
  <c r="G25" i="19" l="1"/>
  <c r="J25" i="19"/>
  <c r="L25" i="19"/>
  <c r="C26" i="18"/>
  <c r="K25" i="18"/>
  <c r="I25" i="18" s="1"/>
  <c r="H27" i="15"/>
  <c r="C28" i="15" s="1"/>
  <c r="F28" i="15" s="1"/>
  <c r="K30" i="13"/>
  <c r="I30" i="13"/>
  <c r="D31" i="13" s="1"/>
  <c r="F30" i="3"/>
  <c r="J30" i="3" s="1"/>
  <c r="K30" i="3"/>
  <c r="H25" i="19" l="1"/>
  <c r="C26" i="19" s="1"/>
  <c r="M25" i="19"/>
  <c r="K25" i="19"/>
  <c r="D26" i="18"/>
  <c r="L28" i="15"/>
  <c r="G28" i="15"/>
  <c r="J28" i="15"/>
  <c r="E28" i="15"/>
  <c r="F31" i="13"/>
  <c r="E31" i="13"/>
  <c r="H30" i="3"/>
  <c r="L30" i="3"/>
  <c r="M30" i="3" s="1"/>
  <c r="D31" i="3" s="1"/>
  <c r="N30" i="3"/>
  <c r="C31" i="3" s="1"/>
  <c r="I25" i="19" l="1"/>
  <c r="D26" i="19" s="1"/>
  <c r="E26" i="18"/>
  <c r="L26" i="18" s="1"/>
  <c r="F26" i="18"/>
  <c r="K28" i="15"/>
  <c r="M28" i="15"/>
  <c r="H28" i="15"/>
  <c r="C29" i="15" s="1"/>
  <c r="J31" i="13"/>
  <c r="G31" i="13"/>
  <c r="H31" i="13"/>
  <c r="C32" i="13" s="1"/>
  <c r="G31" i="3"/>
  <c r="E31" i="3"/>
  <c r="I31" i="3"/>
  <c r="F26" i="19" l="1"/>
  <c r="E26" i="19"/>
  <c r="G26" i="18"/>
  <c r="J26" i="18"/>
  <c r="H26" i="18" s="1"/>
  <c r="I28" i="15"/>
  <c r="D29" i="15" s="1"/>
  <c r="F29" i="15" s="1"/>
  <c r="K31" i="13"/>
  <c r="I31" i="13"/>
  <c r="D32" i="13" s="1"/>
  <c r="E32" i="13" s="1"/>
  <c r="F31" i="3"/>
  <c r="H31" i="3" s="1"/>
  <c r="K31" i="3"/>
  <c r="G26" i="19" l="1"/>
  <c r="J26" i="19"/>
  <c r="L26" i="19"/>
  <c r="C27" i="18"/>
  <c r="K26" i="18"/>
  <c r="I26" i="18" s="1"/>
  <c r="E29" i="15"/>
  <c r="J29" i="15"/>
  <c r="L29" i="15"/>
  <c r="G29" i="15"/>
  <c r="K29" i="15" s="1"/>
  <c r="F32" i="13"/>
  <c r="J31" i="3"/>
  <c r="L31" i="3"/>
  <c r="M31" i="3" s="1"/>
  <c r="D32" i="3" s="1"/>
  <c r="N31" i="3"/>
  <c r="C32" i="3" s="1"/>
  <c r="H26" i="19" l="1"/>
  <c r="C27" i="19" s="1"/>
  <c r="M26" i="19"/>
  <c r="K26" i="19"/>
  <c r="D27" i="18"/>
  <c r="H29" i="15"/>
  <c r="C30" i="15" s="1"/>
  <c r="M29" i="15"/>
  <c r="I29" i="15" s="1"/>
  <c r="D30" i="15" s="1"/>
  <c r="J32" i="13"/>
  <c r="G32" i="13"/>
  <c r="H32" i="13"/>
  <c r="G32" i="3"/>
  <c r="E32" i="3"/>
  <c r="I32" i="3"/>
  <c r="I26" i="19" l="1"/>
  <c r="D27" i="19" s="1"/>
  <c r="E27" i="19" s="1"/>
  <c r="E27" i="18"/>
  <c r="L27" i="18" s="1"/>
  <c r="F27" i="18"/>
  <c r="F30" i="15"/>
  <c r="E30" i="15"/>
  <c r="K32" i="13"/>
  <c r="I32" i="13"/>
  <c r="F32" i="3"/>
  <c r="F33" i="3" s="1"/>
  <c r="K32" i="3"/>
  <c r="F27" i="19" l="1"/>
  <c r="G27" i="18"/>
  <c r="J27" i="18"/>
  <c r="H27" i="18" s="1"/>
  <c r="J30" i="15"/>
  <c r="G30" i="15"/>
  <c r="L30" i="15"/>
  <c r="J32" i="3"/>
  <c r="H32" i="3"/>
  <c r="L32" i="3"/>
  <c r="K33" i="3"/>
  <c r="N32" i="3"/>
  <c r="G27" i="19" l="1"/>
  <c r="J27" i="19"/>
  <c r="L27" i="19"/>
  <c r="C28" i="18"/>
  <c r="K27" i="18"/>
  <c r="I27" i="18" s="1"/>
  <c r="M30" i="15"/>
  <c r="K30" i="15"/>
  <c r="H30" i="15"/>
  <c r="C31" i="15" s="1"/>
  <c r="L33" i="3"/>
  <c r="M32" i="3"/>
  <c r="H27" i="19" l="1"/>
  <c r="C28" i="19" s="1"/>
  <c r="M27" i="19"/>
  <c r="K27" i="19"/>
  <c r="D28" i="18"/>
  <c r="I30" i="15"/>
  <c r="D31" i="15" s="1"/>
  <c r="I27" i="19" l="1"/>
  <c r="D28" i="19" s="1"/>
  <c r="E28" i="19" s="1"/>
  <c r="E28" i="18"/>
  <c r="L28" i="18" s="1"/>
  <c r="F28" i="18"/>
  <c r="E31" i="15"/>
  <c r="F31" i="15"/>
  <c r="F28" i="19" l="1"/>
  <c r="G28" i="18"/>
  <c r="J28" i="18"/>
  <c r="H28" i="18" s="1"/>
  <c r="G31" i="15"/>
  <c r="L31" i="15"/>
  <c r="J31" i="15"/>
  <c r="G28" i="19" l="1"/>
  <c r="J28" i="19"/>
  <c r="L28" i="19"/>
  <c r="C29" i="18"/>
  <c r="K28" i="18"/>
  <c r="I28" i="18" s="1"/>
  <c r="H31" i="15"/>
  <c r="C32" i="15" s="1"/>
  <c r="K31" i="15"/>
  <c r="M31" i="15"/>
  <c r="H28" i="19" l="1"/>
  <c r="C29" i="19" s="1"/>
  <c r="M28" i="19"/>
  <c r="K28" i="19"/>
  <c r="D29" i="18"/>
  <c r="I31" i="15"/>
  <c r="D32" i="15" s="1"/>
  <c r="F32" i="15" s="1"/>
  <c r="J32" i="15" s="1"/>
  <c r="I28" i="19" l="1"/>
  <c r="D29" i="19" s="1"/>
  <c r="E29" i="19" s="1"/>
  <c r="F29" i="18"/>
  <c r="E29" i="18"/>
  <c r="L29" i="18" s="1"/>
  <c r="E32" i="15"/>
  <c r="G32" i="15"/>
  <c r="K32" i="15" s="1"/>
  <c r="L32" i="15"/>
  <c r="H32" i="15" s="1"/>
  <c r="F29" i="19" l="1"/>
  <c r="G29" i="18"/>
  <c r="J29" i="18"/>
  <c r="H29" i="18" s="1"/>
  <c r="M32" i="15"/>
  <c r="I32" i="15" s="1"/>
  <c r="G29" i="19" l="1"/>
  <c r="J29" i="19"/>
  <c r="L29" i="19"/>
  <c r="C30" i="18"/>
  <c r="K29" i="18"/>
  <c r="I29" i="18" s="1"/>
  <c r="H29" i="19" l="1"/>
  <c r="C30" i="19" s="1"/>
  <c r="M29" i="19"/>
  <c r="K29" i="19"/>
  <c r="D30" i="18"/>
  <c r="I29" i="19" l="1"/>
  <c r="D30" i="19" s="1"/>
  <c r="E30" i="19" s="1"/>
  <c r="E30" i="18"/>
  <c r="L30" i="18" s="1"/>
  <c r="F30" i="18"/>
  <c r="F30" i="19" l="1"/>
  <c r="G30" i="18"/>
  <c r="J30" i="18"/>
  <c r="H30" i="18" s="1"/>
  <c r="G30" i="19" l="1"/>
  <c r="L30" i="19"/>
  <c r="J30" i="19"/>
  <c r="C31" i="18"/>
  <c r="K30" i="18"/>
  <c r="I30" i="18" s="1"/>
  <c r="H30" i="19" l="1"/>
  <c r="C31" i="19" s="1"/>
  <c r="M30" i="19"/>
  <c r="K30" i="19"/>
  <c r="D31" i="18"/>
  <c r="I30" i="19" l="1"/>
  <c r="D31" i="19" s="1"/>
  <c r="E31" i="19" s="1"/>
  <c r="E31" i="18"/>
  <c r="L31" i="18" s="1"/>
  <c r="F31" i="18"/>
  <c r="F31" i="19" l="1"/>
  <c r="G31" i="18"/>
  <c r="J31" i="18"/>
  <c r="H31" i="18" s="1"/>
  <c r="G31" i="19" l="1"/>
  <c r="J31" i="19"/>
  <c r="L31" i="19"/>
  <c r="C32" i="18"/>
  <c r="K31" i="18"/>
  <c r="I31" i="18" s="1"/>
  <c r="H31" i="19" l="1"/>
  <c r="C32" i="19" s="1"/>
  <c r="M31" i="19"/>
  <c r="K31" i="19"/>
  <c r="D32" i="18"/>
  <c r="I31" i="19" l="1"/>
  <c r="D32" i="19" s="1"/>
  <c r="E32" i="19" s="1"/>
  <c r="F32" i="18"/>
  <c r="E32" i="18"/>
  <c r="L32" i="18" s="1"/>
  <c r="L33" i="18" s="1"/>
  <c r="F32" i="19" l="1"/>
  <c r="F33" i="19" s="1"/>
  <c r="G32" i="18"/>
  <c r="J32" i="18"/>
  <c r="H32" i="18" s="1"/>
  <c r="G32" i="19" l="1"/>
  <c r="G33" i="19" s="1"/>
  <c r="J32" i="19"/>
  <c r="L32" i="19"/>
  <c r="K32" i="18"/>
  <c r="I32" i="18" s="1"/>
  <c r="N34" i="19" l="1"/>
  <c r="H32" i="19"/>
  <c r="M32" i="19"/>
  <c r="K32" i="19"/>
  <c r="I32" i="19" l="1"/>
</calcChain>
</file>

<file path=xl/sharedStrings.xml><?xml version="1.0" encoding="utf-8"?>
<sst xmlns="http://schemas.openxmlformats.org/spreadsheetml/2006/main" count="112" uniqueCount="56">
  <si>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</si>
  <si>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</si>
  <si>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</si>
  <si>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</si>
  <si>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</si>
  <si>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</si>
  <si>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</si>
  <si>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</si>
  <si>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</si>
  <si>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</si>
  <si>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</si>
  <si>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</si>
  <si>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</si>
  <si>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</si>
  <si>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</si>
  <si>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</si>
  <si>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</si>
  <si>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</si>
  <si>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</si>
  <si>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</si>
  <si>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</si>
  <si>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</si>
  <si>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</si>
  <si>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</si>
  <si>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</si>
  <si>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What is this spreadsheet about?</t>
  </si>
  <si>
    <t>This spreadsheet explores different flavors/variations of Stochastic Gradient Descent, the key optimization method used in Deep Learning.</t>
  </si>
  <si>
    <t>To keep things simple, instead of working with neural networks here, we will use a simple linear model (y=ax+b). However, the optimization methods are the same for NNs.</t>
  </si>
  <si>
    <t>Make a copy of this spreadsheet in order to edit and save it. Note that macros only work on 'basic SGD' sheet for now.</t>
  </si>
  <si>
    <t>Goal: We want to create a model so that we can predict y when we're given x.</t>
  </si>
  <si>
    <t>To build the model, we are given training data x, y and we want to find an optimal a, b to create a model of the form y = ax + b.</t>
  </si>
  <si>
    <t>The key idea of SGD:</t>
  </si>
  <si>
    <t>1. Randomly choose some weights to start.</t>
  </si>
  <si>
    <t>2. Use those weights to calculate a prediciton, calculate the error/loss, and then update those weights.</t>
  </si>
  <si>
    <t>3. Repeat step 2 lots of times. Eventually we end up with some decent weights.</t>
  </si>
  <si>
    <t>How does this relate to NNs? To make an analogy with CNNs: x would be our images, y would be the dog/cat labels, and a and b are the weights.</t>
  </si>
  <si>
    <t>We are trying to find the optimal weights (a, b). We use the same optimization methods to find weights for our NNs.</t>
  </si>
  <si>
    <t>Overview of the sheets in this notebook:</t>
  </si>
  <si>
    <t>data:</t>
  </si>
  <si>
    <t>Here we randomly generate some training data x and y that we will use on the other sheets. In the real world, you would get your x and y data from another source. In our CNN, x is the image data and y is the category (dog or cat).</t>
  </si>
  <si>
    <t>We create our data by arbitrarily choosing a and b (a=2, b=30), randomly generating x, and then calculating y = ax + b. We are going to pretend we don't know the true values of a and b, and see if our optimization algorithms help us find them.</t>
  </si>
  <si>
    <t>We can get a sense of how good our answers are, since really we know what the "true" a and b are.</t>
  </si>
  <si>
    <t>basic SGD:</t>
  </si>
  <si>
    <t>This is the most basic, vanilla form of stochastic gradient descent. If we were doing gradient descent (not stochastic!), we would evaluate our error on all our data, and then update the weights a, b.</t>
  </si>
  <si>
    <t>What makes it stochastic is that we're just evaluating the error on a subset of our data (in this case, a single data point. For NNs, this is called our "mini-batch") and then updating the weights.</t>
  </si>
  <si>
    <t>momentum:</t>
  </si>
  <si>
    <t>Accelerate SGD in the relevant direction and dampen side-to-side oscillations</t>
  </si>
  <si>
    <t>It does this by combining a decaying average of previous gradients with the current gradient</t>
  </si>
  <si>
    <t>rmsprop:</t>
  </si>
  <si>
    <t>Adapts the learning rate by dividing by exponentially decaying average of squared gradients</t>
  </si>
  <si>
    <t>adam:</t>
  </si>
  <si>
    <t>rmsprop + momentum</t>
  </si>
  <si>
    <t>adam_ann:</t>
  </si>
  <si>
    <t>adam with learning rate annealling</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</si>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</sst>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4"/>
      <color rgb="FF000000"/>
      <name val="Calibri"/>
      <family val="2"/>
      <scheme val="minor"/>
    </font>
    <font>
      <sz val="14"/>
      <color rgb="FF000000"/>
      <name val="Calibri"/>
      <family val="2"/>
      <scheme val="minor"/>
    </font>
  </fonts>
  <fills count="2">
    <fill>
      <patternFill patternType="none"/>
    </fill>
    <fill>
      <patternFill patternType="gray125"/>
    </fill>
  </fills>
  <borders count="7">
    <border>
      <left/>
      <right/>
      <top/>
      <bottom/>
      <diagonal/>
    </border>
    <border>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style="thin">
        <color indexed="64"/>
      </right>
      <top/>
      <bottom/>
      <diagonal/>
    </border>
  </borders>
  <cellStyleXfs count="1">
    <xf numFmtId="0" fontId="0" fillId="0" borderId="0"/>
  </cellStyleXfs>
  <cellXfs count="24">
    <xf numFmtId="0" fontId="0" fillId="0" borderId="0" xfId="0"/>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applyAlignment="1">
      <alignment vertical="center"/>
    </xf>
    <xf numFmtId="0" fontId="0" fillId="0" borderId="0" xfId="0" applyAlignment="1">
      <alignment wrapText="1"/>
    </xf>
    <xf numFmtId="0" fontId="5" fillId="0" borderId="0" xfId="0" applyFont="1" applyAlignment="1">
      <alignment vertical="center"/>
    </xf>
    <xf numFmtId="0" fontId="5" fillId="0" borderId="0" xfId="0" applyFont="1" applyAlignment="1">
      <alignment wrapText="1"/>
    </xf>
    <xf numFmtId="0" fontId="4" fillId="0" borderId="0" xfId="0" applyFont="1" applyAlignment="1">
      <alignment wrapText="1"/>
    </xf>
    <xf numFmtId="0" fontId="4" fillId="0" borderId="1" xfId="0" applyFont="1" applyBorder="1" applyAlignment="1">
      <alignment vertical="center"/>
    </xf>
    <xf numFmtId="0" fontId="0" fillId="0" borderId="1" xfId="0" applyBorder="1" applyAlignment="1">
      <alignment wrapText="1"/>
    </xf>
    <xf numFmtId="0" fontId="0" fillId="0" borderId="2" xfId="0" applyBorder="1" applyAlignment="1">
      <alignment wrapText="1"/>
    </xf>
    <xf numFmtId="0" fontId="5" fillId="0" borderId="2" xfId="0" applyFont="1" applyBorder="1" applyAlignment="1">
      <alignment wrapText="1"/>
    </xf>
    <xf numFmtId="0" fontId="5" fillId="0" borderId="3" xfId="0" applyFont="1" applyBorder="1" applyAlignment="1">
      <alignment wrapText="1"/>
    </xf>
    <xf numFmtId="0" fontId="0" fillId="0" borderId="4" xfId="0" applyBorder="1" applyAlignment="1">
      <alignment wrapText="1"/>
    </xf>
    <xf numFmtId="0" fontId="5" fillId="0" borderId="5" xfId="0" applyFont="1" applyBorder="1" applyAlignment="1">
      <alignment wrapText="1"/>
    </xf>
    <xf numFmtId="0" fontId="5" fillId="0" borderId="4" xfId="0" applyFont="1" applyBorder="1" applyAlignment="1">
      <alignment wrapText="1"/>
    </xf>
    <xf numFmtId="0" fontId="0" fillId="0" borderId="6"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basic!$C$38:$C$62</c:f>
              <c:numCache>
                <c:formatCode>General</c:formatCode>
                <c:ptCount val="25"/>
                <c:pt idx="0">
                  <c:v>150.75521153771854</c:v>
                </c:pt>
                <c:pt idx="1">
                  <c:v>104.74921026693299</c:v>
                </c:pt>
                <c:pt idx="2">
                  <c:v>104.55969980561993</c:v>
                </c:pt>
                <c:pt idx="3">
                  <c:v>104.37053295106034</c:v>
                </c:pt>
                <c:pt idx="4">
                  <c:v>104.18170833255277</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marker val="1"/>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495300</xdr:colOff>
          <xdr:row>1</xdr:row>
          <xdr:rowOff>203200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495300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647700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647700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F277-A202-4DD8-85CE-DE359A65F40B}">
  <dimension ref="A1:B30"/>
  <sheetViews>
    <sheetView workbookViewId="0"/>
  </sheetViews>
  <sheetFormatPr baseColWidth="10" defaultColWidth="8.83203125" defaultRowHeight="15" x14ac:dyDescent="0.2"/>
  <cols>
    <col min="1" max="1" width="19.1640625" customWidth="1"/>
    <col min="2" max="2" width="122.33203125" customWidth="1"/>
  </cols>
  <sheetData>
    <row r="1" spans="1:2" ht="19" x14ac:dyDescent="0.2">
      <c r="A1" s="10" t="s">
        <v>25</v>
      </c>
      <c r="B1" s="11"/>
    </row>
    <row r="2" spans="1:2" ht="19" x14ac:dyDescent="0.2">
      <c r="A2" s="12" t="s">
        <v>26</v>
      </c>
      <c r="B2" s="11"/>
    </row>
    <row r="3" spans="1:2" ht="19" x14ac:dyDescent="0.2">
      <c r="A3" s="12" t="s">
        <v>27</v>
      </c>
      <c r="B3" s="11"/>
    </row>
    <row r="4" spans="1:2" ht="19" x14ac:dyDescent="0.2">
      <c r="A4" s="12" t="s">
        <v>28</v>
      </c>
      <c r="B4" s="11"/>
    </row>
    <row r="5" spans="1:2" ht="19" x14ac:dyDescent="0.25">
      <c r="A5" s="13"/>
      <c r="B5" s="11"/>
    </row>
    <row r="6" spans="1:2" ht="19" x14ac:dyDescent="0.2">
      <c r="A6" s="10" t="s">
        <v>29</v>
      </c>
      <c r="B6" s="11"/>
    </row>
    <row r="7" spans="1:2" ht="19" x14ac:dyDescent="0.2">
      <c r="A7" s="12" t="s">
        <v>30</v>
      </c>
      <c r="B7" s="11"/>
    </row>
    <row r="8" spans="1:2" ht="19" x14ac:dyDescent="0.25">
      <c r="A8" s="14"/>
      <c r="B8" s="11"/>
    </row>
    <row r="9" spans="1:2" ht="19" x14ac:dyDescent="0.2">
      <c r="A9" s="10" t="s">
        <v>31</v>
      </c>
      <c r="B9" s="11"/>
    </row>
    <row r="10" spans="1:2" ht="19" x14ac:dyDescent="0.2">
      <c r="A10" s="12" t="s">
        <v>32</v>
      </c>
      <c r="B10" s="11"/>
    </row>
    <row r="11" spans="1:2" ht="19" x14ac:dyDescent="0.2">
      <c r="A11" s="12" t="s">
        <v>33</v>
      </c>
      <c r="B11" s="11"/>
    </row>
    <row r="12" spans="1:2" ht="19" x14ac:dyDescent="0.2">
      <c r="A12" s="12" t="s">
        <v>34</v>
      </c>
      <c r="B12" s="11"/>
    </row>
    <row r="13" spans="1:2" ht="19" x14ac:dyDescent="0.25">
      <c r="A13" s="14"/>
      <c r="B13" s="11"/>
    </row>
    <row r="14" spans="1:2" ht="19" x14ac:dyDescent="0.2">
      <c r="A14" s="12" t="s">
        <v>35</v>
      </c>
      <c r="B14" s="11"/>
    </row>
    <row r="15" spans="1:2" ht="19" x14ac:dyDescent="0.2">
      <c r="A15" s="12" t="s">
        <v>36</v>
      </c>
      <c r="B15" s="11"/>
    </row>
    <row r="16" spans="1:2" ht="19" x14ac:dyDescent="0.25">
      <c r="A16" s="14"/>
      <c r="B16" s="11"/>
    </row>
    <row r="17" spans="1:2" ht="20" thickBot="1" x14ac:dyDescent="0.25">
      <c r="A17" s="15" t="s">
        <v>37</v>
      </c>
      <c r="B17" s="16"/>
    </row>
    <row r="18" spans="1:2" ht="40" x14ac:dyDescent="0.25">
      <c r="A18" s="18" t="s">
        <v>38</v>
      </c>
      <c r="B18" s="19" t="s">
        <v>39</v>
      </c>
    </row>
    <row r="19" spans="1:2" ht="40" x14ac:dyDescent="0.25">
      <c r="A19" s="17"/>
      <c r="B19" s="19" t="s">
        <v>40</v>
      </c>
    </row>
    <row r="20" spans="1:2" ht="21" thickBot="1" x14ac:dyDescent="0.3">
      <c r="A20" s="20"/>
      <c r="B20" s="21" t="s">
        <v>41</v>
      </c>
    </row>
    <row r="21" spans="1:2" ht="40" x14ac:dyDescent="0.25">
      <c r="A21" s="18" t="s">
        <v>42</v>
      </c>
      <c r="B21" s="19" t="s">
        <v>43</v>
      </c>
    </row>
    <row r="22" spans="1:2" ht="41" thickBot="1" x14ac:dyDescent="0.3">
      <c r="A22" s="20"/>
      <c r="B22" s="21" t="s">
        <v>44</v>
      </c>
    </row>
    <row r="23" spans="1:2" ht="20" x14ac:dyDescent="0.25">
      <c r="A23" s="18" t="s">
        <v>45</v>
      </c>
      <c r="B23" s="19" t="s">
        <v>46</v>
      </c>
    </row>
    <row r="24" spans="1:2" ht="21" thickBot="1" x14ac:dyDescent="0.3">
      <c r="A24" s="20"/>
      <c r="B24" s="21" t="s">
        <v>47</v>
      </c>
    </row>
    <row r="25" spans="1:2" ht="21" thickBot="1" x14ac:dyDescent="0.3">
      <c r="A25" s="22" t="s">
        <v>48</v>
      </c>
      <c r="B25" s="21" t="s">
        <v>49</v>
      </c>
    </row>
    <row r="26" spans="1:2" ht="21" thickBot="1" x14ac:dyDescent="0.3">
      <c r="A26" s="22" t="s">
        <v>50</v>
      </c>
      <c r="B26" s="21" t="s">
        <v>51</v>
      </c>
    </row>
    <row r="27" spans="1:2" ht="21" thickBot="1" x14ac:dyDescent="0.3">
      <c r="A27" s="22" t="s">
        <v>52</v>
      </c>
      <c r="B27" s="21" t="s">
        <v>53</v>
      </c>
    </row>
    <row r="28" spans="1:2" ht="19" x14ac:dyDescent="0.25">
      <c r="A28" s="14"/>
      <c r="B28" s="11"/>
    </row>
    <row r="29" spans="1:2" ht="19" x14ac:dyDescent="0.25">
      <c r="A29" s="14"/>
      <c r="B29" s="11" t="s">
        <v>54</v>
      </c>
    </row>
    <row r="30" spans="1:2" ht="19" x14ac:dyDescent="0.25">
      <c r="A30" s="14"/>
      <c r="B30" s="11"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
  <dimension ref="A1:C33"/>
  <sheetViews>
    <sheetView zoomScale="130" zoomScaleNormal="130" workbookViewId="0">
      <selection activeCell="B33" sqref="B33"/>
    </sheetView>
  </sheetViews>
  <sheetFormatPr baseColWidth="10" defaultColWidth="8.83203125" defaultRowHeight="15" x14ac:dyDescent="0.2"/>
  <sheetData>
    <row r="1" spans="1:3" x14ac:dyDescent="0.2">
      <c r="A1" t="s">
        <v>21</v>
      </c>
      <c r="B1" t="s">
        <v>23</v>
      </c>
      <c r="C1">
        <v>30</v>
      </c>
    </row>
    <row r="2" spans="1:3" x14ac:dyDescent="0.2">
      <c r="A2" t="s">
        <v>22</v>
      </c>
      <c r="B2" t="s">
        <v>0</v>
      </c>
      <c r="C2">
        <v>2</v>
      </c>
    </row>
    <row r="4" spans="1:3" x14ac:dyDescent="0.2">
      <c r="B4" s="1" t="s">
        <v>15</v>
      </c>
      <c r="C4" s="1" t="s">
        <v>16</v>
      </c>
    </row>
    <row r="5" spans="1:3" x14ac:dyDescent="0.2">
      <c r="B5">
        <f t="shared" ref="B5:B33" ca="1" si="0">RANDBETWEEN(1,100)</f>
        <v>64</v>
      </c>
      <c r="C5">
        <f ca="1">$C$1+B5*$C$2</f>
        <v>158</v>
      </c>
    </row>
    <row r="6" spans="1:3" x14ac:dyDescent="0.2">
      <c r="B6">
        <f t="shared" ca="1" si="0"/>
        <v>82</v>
      </c>
      <c r="C6">
        <f t="shared" ref="C6:C33" ca="1" si="1">$C$1+B6*$C$2</f>
        <v>194</v>
      </c>
    </row>
    <row r="7" spans="1:3" x14ac:dyDescent="0.2">
      <c r="B7">
        <f t="shared" ca="1" si="0"/>
        <v>37</v>
      </c>
      <c r="C7">
        <f t="shared" ca="1" si="1"/>
        <v>104</v>
      </c>
    </row>
    <row r="8" spans="1:3" x14ac:dyDescent="0.2">
      <c r="B8">
        <f t="shared" ca="1" si="0"/>
        <v>25</v>
      </c>
      <c r="C8">
        <f t="shared" ca="1" si="1"/>
        <v>80</v>
      </c>
    </row>
    <row r="9" spans="1:3" x14ac:dyDescent="0.2">
      <c r="B9">
        <f t="shared" ca="1" si="0"/>
        <v>37</v>
      </c>
      <c r="C9">
        <f t="shared" ca="1" si="1"/>
        <v>104</v>
      </c>
    </row>
    <row r="10" spans="1:3" x14ac:dyDescent="0.2">
      <c r="B10">
        <f t="shared" ca="1" si="0"/>
        <v>47</v>
      </c>
      <c r="C10">
        <f t="shared" ca="1" si="1"/>
        <v>124</v>
      </c>
    </row>
    <row r="11" spans="1:3" x14ac:dyDescent="0.2">
      <c r="B11">
        <f t="shared" ca="1" si="0"/>
        <v>90</v>
      </c>
      <c r="C11">
        <f t="shared" ca="1" si="1"/>
        <v>210</v>
      </c>
    </row>
    <row r="12" spans="1:3" x14ac:dyDescent="0.2">
      <c r="B12">
        <f t="shared" ca="1" si="0"/>
        <v>19</v>
      </c>
      <c r="C12">
        <f t="shared" ca="1" si="1"/>
        <v>68</v>
      </c>
    </row>
    <row r="13" spans="1:3" x14ac:dyDescent="0.2">
      <c r="B13">
        <f t="shared" ca="1" si="0"/>
        <v>11</v>
      </c>
      <c r="C13">
        <f t="shared" ca="1" si="1"/>
        <v>52</v>
      </c>
    </row>
    <row r="14" spans="1:3" x14ac:dyDescent="0.2">
      <c r="B14">
        <f t="shared" ca="1" si="0"/>
        <v>79</v>
      </c>
      <c r="C14">
        <f t="shared" ca="1" si="1"/>
        <v>188</v>
      </c>
    </row>
    <row r="15" spans="1:3" x14ac:dyDescent="0.2">
      <c r="B15">
        <f t="shared" ca="1" si="0"/>
        <v>93</v>
      </c>
      <c r="C15">
        <f t="shared" ca="1" si="1"/>
        <v>216</v>
      </c>
    </row>
    <row r="16" spans="1:3" x14ac:dyDescent="0.2">
      <c r="B16">
        <f t="shared" ca="1" si="0"/>
        <v>13</v>
      </c>
      <c r="C16">
        <f t="shared" ca="1" si="1"/>
        <v>56</v>
      </c>
    </row>
    <row r="17" spans="2:3" x14ac:dyDescent="0.2">
      <c r="B17">
        <f t="shared" ca="1" si="0"/>
        <v>49</v>
      </c>
      <c r="C17">
        <f t="shared" ca="1" si="1"/>
        <v>128</v>
      </c>
    </row>
    <row r="18" spans="2:3" x14ac:dyDescent="0.2">
      <c r="B18">
        <f t="shared" ca="1" si="0"/>
        <v>65</v>
      </c>
      <c r="C18">
        <f t="shared" ca="1" si="1"/>
        <v>160</v>
      </c>
    </row>
    <row r="19" spans="2:3" x14ac:dyDescent="0.2">
      <c r="B19">
        <f t="shared" ca="1" si="0"/>
        <v>15</v>
      </c>
      <c r="C19">
        <f t="shared" ca="1" si="1"/>
        <v>60</v>
      </c>
    </row>
    <row r="20" spans="2:3" x14ac:dyDescent="0.2">
      <c r="B20">
        <f t="shared" ca="1" si="0"/>
        <v>87</v>
      </c>
      <c r="C20">
        <f t="shared" ca="1" si="1"/>
        <v>204</v>
      </c>
    </row>
    <row r="21" spans="2:3" x14ac:dyDescent="0.2">
      <c r="B21">
        <f t="shared" ca="1" si="0"/>
        <v>33</v>
      </c>
      <c r="C21">
        <f t="shared" ca="1" si="1"/>
        <v>96</v>
      </c>
    </row>
    <row r="22" spans="2:3" x14ac:dyDescent="0.2">
      <c r="B22">
        <f t="shared" ca="1" si="0"/>
        <v>91</v>
      </c>
      <c r="C22">
        <f t="shared" ca="1" si="1"/>
        <v>212</v>
      </c>
    </row>
    <row r="23" spans="2:3" x14ac:dyDescent="0.2">
      <c r="B23">
        <f t="shared" ca="1" si="0"/>
        <v>71</v>
      </c>
      <c r="C23">
        <f t="shared" ca="1" si="1"/>
        <v>172</v>
      </c>
    </row>
    <row r="24" spans="2:3" x14ac:dyDescent="0.2">
      <c r="B24">
        <f t="shared" ca="1" si="0"/>
        <v>23</v>
      </c>
      <c r="C24" s="23">
        <f t="shared" ca="1" si="1"/>
        <v>76</v>
      </c>
    </row>
    <row r="25" spans="2:3" x14ac:dyDescent="0.2">
      <c r="B25">
        <f t="shared" ca="1" si="0"/>
        <v>98</v>
      </c>
      <c r="C25">
        <f t="shared" ca="1" si="1"/>
        <v>226</v>
      </c>
    </row>
    <row r="26" spans="2:3" x14ac:dyDescent="0.2">
      <c r="B26">
        <f t="shared" ca="1" si="0"/>
        <v>33</v>
      </c>
      <c r="C26">
        <f t="shared" ca="1" si="1"/>
        <v>96</v>
      </c>
    </row>
    <row r="27" spans="2:3" x14ac:dyDescent="0.2">
      <c r="B27">
        <f t="shared" ca="1" si="0"/>
        <v>87</v>
      </c>
      <c r="C27">
        <f t="shared" ca="1" si="1"/>
        <v>204</v>
      </c>
    </row>
    <row r="28" spans="2:3" x14ac:dyDescent="0.2">
      <c r="B28">
        <f t="shared" ca="1" si="0"/>
        <v>95</v>
      </c>
      <c r="C28">
        <f t="shared" ca="1" si="1"/>
        <v>220</v>
      </c>
    </row>
    <row r="29" spans="2:3" x14ac:dyDescent="0.2">
      <c r="B29">
        <f t="shared" ca="1" si="0"/>
        <v>20</v>
      </c>
      <c r="C29">
        <f t="shared" ca="1" si="1"/>
        <v>70</v>
      </c>
    </row>
    <row r="30" spans="2:3" x14ac:dyDescent="0.2">
      <c r="B30">
        <f t="shared" ca="1" si="0"/>
        <v>21</v>
      </c>
      <c r="C30">
        <f t="shared" ca="1" si="1"/>
        <v>72</v>
      </c>
    </row>
    <row r="31" spans="2:3" x14ac:dyDescent="0.2">
      <c r="B31">
        <f t="shared" ca="1" si="0"/>
        <v>32</v>
      </c>
      <c r="C31">
        <f t="shared" ca="1" si="1"/>
        <v>94</v>
      </c>
    </row>
    <row r="32" spans="2:3" x14ac:dyDescent="0.2">
      <c r="B32">
        <f t="shared" ca="1" si="0"/>
        <v>63</v>
      </c>
      <c r="C32">
        <f t="shared" ca="1" si="1"/>
        <v>156</v>
      </c>
    </row>
    <row r="33" spans="2:3" x14ac:dyDescent="0.2">
      <c r="B33">
        <f t="shared" ca="1" si="0"/>
        <v>2</v>
      </c>
      <c r="C33">
        <f t="shared" ca="1" si="1"/>
        <v>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asic"/>
  <dimension ref="A1:N42"/>
  <sheetViews>
    <sheetView zoomScale="130" zoomScaleNormal="130" workbookViewId="0">
      <pane ySplit="3" topLeftCell="A4" activePane="bottomLeft" state="frozen"/>
      <selection pane="bottomLeft" activeCell="N41" sqref="N41"/>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9.5" customWidth="1"/>
    <col min="7" max="7" width="9" bestFit="1" customWidth="1"/>
    <col min="8" max="8" width="11" bestFit="1" customWidth="1"/>
    <col min="9" max="9" width="10.83203125" customWidth="1"/>
    <col min="10" max="10" width="9.6640625" bestFit="1" customWidth="1"/>
    <col min="11" max="11" width="7.1640625" bestFit="1" customWidth="1"/>
    <col min="12" max="12" width="9.6640625" bestFit="1" customWidth="1"/>
    <col min="13" max="13" width="5.6640625" bestFit="1" customWidth="1"/>
    <col min="14" max="14" width="5.83203125" bestFit="1" customWidth="1"/>
  </cols>
  <sheetData>
    <row r="1" spans="1:14" ht="17.5" customHeight="1" x14ac:dyDescent="0.2">
      <c r="B1" t="s">
        <v>19</v>
      </c>
      <c r="C1">
        <v>1.2754625002528799</v>
      </c>
      <c r="E1" t="s">
        <v>14</v>
      </c>
      <c r="F1">
        <v>1E-4</v>
      </c>
      <c r="I1" t="s">
        <v>5</v>
      </c>
    </row>
    <row r="2" spans="1:14" ht="17.5" customHeight="1" x14ac:dyDescent="0.2">
      <c r="B2" t="s">
        <v>0</v>
      </c>
      <c r="C2">
        <v>2.5699964698075251</v>
      </c>
      <c r="H2" t="s">
        <v>3</v>
      </c>
      <c r="I2" t="s">
        <v>4</v>
      </c>
    </row>
    <row r="3" spans="1:14" s="1" customFormat="1" x14ac:dyDescent="0.2">
      <c r="A3" s="1" t="s">
        <v>15</v>
      </c>
      <c r="B3" s="1" t="s">
        <v>16</v>
      </c>
      <c r="C3" s="1" t="s">
        <v>19</v>
      </c>
      <c r="D3" s="1" t="s">
        <v>0</v>
      </c>
      <c r="E3" s="1" t="s">
        <v>17</v>
      </c>
      <c r="F3" s="1" t="s">
        <v>1</v>
      </c>
      <c r="G3" s="1" t="s">
        <v>7</v>
      </c>
      <c r="H3" s="1" t="s">
        <v>10</v>
      </c>
      <c r="I3" s="1" t="s">
        <v>8</v>
      </c>
      <c r="J3" s="1" t="s">
        <v>11</v>
      </c>
      <c r="K3" s="1" t="s">
        <v>6</v>
      </c>
      <c r="L3" s="1" t="s">
        <v>9</v>
      </c>
      <c r="M3" s="1" t="s">
        <v>12</v>
      </c>
      <c r="N3" s="1" t="s">
        <v>13</v>
      </c>
    </row>
    <row r="4" spans="1:14" x14ac:dyDescent="0.2">
      <c r="A4">
        <v>14</v>
      </c>
      <c r="B4">
        <v>58</v>
      </c>
      <c r="C4">
        <f>C1</f>
        <v>1.2754625002528799</v>
      </c>
      <c r="D4">
        <f>C2</f>
        <v>2.5699964698075251</v>
      </c>
      <c r="E4">
        <f>C4+D4*A4</f>
        <v>37.255413077558231</v>
      </c>
      <c r="F4" s="2">
        <f>(B4-E4)^2</f>
        <v>430.33788658274204</v>
      </c>
      <c r="G4" s="2">
        <f>(((C4+0.01)+A4*D4)-B4)^2</f>
        <v>429.92309484429302</v>
      </c>
      <c r="H4" s="2">
        <f>(G4-F4)/0.01</f>
        <v>-41.479173844902562</v>
      </c>
      <c r="I4" s="2">
        <f>(((D4+0.01)*A4+C4)-B4)^2</f>
        <v>424.54900224445862</v>
      </c>
      <c r="J4" s="2">
        <f>(I4-F4)/0.01</f>
        <v>-578.88843382834239</v>
      </c>
      <c r="K4" s="2">
        <f>2*(E4-B4)</f>
        <v>-41.489173844883538</v>
      </c>
      <c r="L4" s="2">
        <f>K4*A4</f>
        <v>-580.84843382836948</v>
      </c>
      <c r="M4" s="2">
        <f>D4-L4*$F$1</f>
        <v>2.628081313190362</v>
      </c>
      <c r="N4" s="2">
        <f>C4-K4*$F$1</f>
        <v>1.2796114176373683</v>
      </c>
    </row>
    <row r="5" spans="1:14" x14ac:dyDescent="0.2">
      <c r="A5">
        <v>86</v>
      </c>
      <c r="B5">
        <v>202</v>
      </c>
      <c r="C5">
        <f>N4</f>
        <v>1.2796114176373683</v>
      </c>
      <c r="D5">
        <f>M4</f>
        <v>2.628081313190362</v>
      </c>
      <c r="E5">
        <f>C5+D5*A5</f>
        <v>227.29460435200849</v>
      </c>
      <c r="F5" s="2">
        <f t="shared" ref="F5:F32" si="0">(B5-E5)^2</f>
        <v>639.81700932464696</v>
      </c>
      <c r="G5" s="2">
        <f>(((C5+0.01)+A5*D5)-B5)^2</f>
        <v>640.32300141168662</v>
      </c>
      <c r="H5" s="2">
        <f>(G5-F5)/0.01</f>
        <v>50.599208703965814</v>
      </c>
      <c r="I5" s="2">
        <f>(((D5+0.01)*A5+C5)-B5)^2</f>
        <v>684.06332881010076</v>
      </c>
      <c r="J5" s="2">
        <f>(I5-F5)/0.01</f>
        <v>4424.6319485453796</v>
      </c>
      <c r="K5" s="2">
        <f t="shared" ref="K5:K32" si="1">2*(E5-B5)</f>
        <v>50.589208704016983</v>
      </c>
      <c r="L5" s="2">
        <f>K5*A5</f>
        <v>4350.6719485454605</v>
      </c>
      <c r="M5" s="2">
        <f t="shared" ref="M5:M32" si="2">D5-L5*$F$1</f>
        <v>2.1930141183358161</v>
      </c>
      <c r="N5" s="2">
        <f t="shared" ref="N5:N32" si="3">C5-K5*$F$1</f>
        <v>1.2745524967669666</v>
      </c>
    </row>
    <row r="6" spans="1:14" x14ac:dyDescent="0.2">
      <c r="A6">
        <v>28</v>
      </c>
      <c r="B6">
        <v>86</v>
      </c>
      <c r="C6">
        <f>N5</f>
        <v>1.2745524967669666</v>
      </c>
      <c r="D6">
        <f>M5</f>
        <v>2.1930141183358161</v>
      </c>
      <c r="E6">
        <f>C6+D6*A6</f>
        <v>62.678947810169817</v>
      </c>
      <c r="F6" s="2">
        <f t="shared" si="0"/>
        <v>543.87147524078318</v>
      </c>
      <c r="G6" s="2">
        <f t="shared" ref="G6:G32" si="4">(((C6+0.01)+A6*D6)-B6)^2</f>
        <v>543.4051541969867</v>
      </c>
      <c r="H6" s="2">
        <f t="shared" ref="H6:H32" si="5">(G6-F6)/0.01</f>
        <v>-46.632104379648354</v>
      </c>
      <c r="I6" s="2">
        <f t="shared" ref="I6:I32" si="6">(((D6+0.01)*A6+C6)-B6)^2</f>
        <v>530.89008601447858</v>
      </c>
      <c r="J6" s="2">
        <f t="shared" ref="J6:J32" si="7">(I6-F6)/0.01</f>
        <v>-1298.13892263046</v>
      </c>
      <c r="K6" s="2">
        <f t="shared" si="1"/>
        <v>-46.642104379660367</v>
      </c>
      <c r="L6" s="2">
        <f t="shared" ref="L6:L32" si="8">K6*A6</f>
        <v>-1305.9789226304902</v>
      </c>
      <c r="M6" s="2">
        <f t="shared" si="2"/>
        <v>2.3236120105988651</v>
      </c>
      <c r="N6" s="2">
        <f t="shared" si="3"/>
        <v>1.2792167072049325</v>
      </c>
    </row>
    <row r="7" spans="1:14" x14ac:dyDescent="0.2">
      <c r="A7">
        <v>51</v>
      </c>
      <c r="B7">
        <v>132</v>
      </c>
      <c r="C7">
        <f t="shared" ref="C7:C32" si="9">N6</f>
        <v>1.2792167072049325</v>
      </c>
      <c r="D7">
        <f t="shared" ref="D7:D32" si="10">M6</f>
        <v>2.3236120105988651</v>
      </c>
      <c r="E7">
        <f t="shared" ref="E7:E32" si="11">C7+D7*A7</f>
        <v>119.78342924774707</v>
      </c>
      <c r="F7" s="2">
        <f t="shared" si="0"/>
        <v>149.24460094480182</v>
      </c>
      <c r="G7" s="2">
        <f t="shared" si="4"/>
        <v>149.00036952975699</v>
      </c>
      <c r="H7" s="2">
        <f t="shared" si="5"/>
        <v>-24.42314150448226</v>
      </c>
      <c r="I7" s="2">
        <f t="shared" si="6"/>
        <v>137.04379877750438</v>
      </c>
      <c r="J7" s="2">
        <f t="shared" si="7"/>
        <v>-1220.0802167297438</v>
      </c>
      <c r="K7" s="2">
        <f t="shared" si="1"/>
        <v>-24.433141504505869</v>
      </c>
      <c r="L7" s="2">
        <f t="shared" si="8"/>
        <v>-1246.0902167297993</v>
      </c>
      <c r="M7" s="2">
        <f t="shared" si="2"/>
        <v>2.448221032271845</v>
      </c>
      <c r="N7" s="2">
        <f t="shared" si="3"/>
        <v>1.281660021355383</v>
      </c>
    </row>
    <row r="8" spans="1:14" x14ac:dyDescent="0.2">
      <c r="A8">
        <v>28</v>
      </c>
      <c r="B8">
        <v>86</v>
      </c>
      <c r="C8">
        <f t="shared" si="9"/>
        <v>1.281660021355383</v>
      </c>
      <c r="D8">
        <f t="shared" si="10"/>
        <v>2.448221032271845</v>
      </c>
      <c r="E8">
        <f t="shared" si="11"/>
        <v>69.831848924967034</v>
      </c>
      <c r="F8" s="2">
        <f t="shared" si="0"/>
        <v>261.40910918508968</v>
      </c>
      <c r="G8" s="2">
        <f t="shared" si="4"/>
        <v>261.08584616358883</v>
      </c>
      <c r="H8" s="2">
        <f t="shared" si="5"/>
        <v>-32.326302150084985</v>
      </c>
      <c r="I8" s="2">
        <f t="shared" si="6"/>
        <v>252.43334458307118</v>
      </c>
      <c r="J8" s="2">
        <f t="shared" si="7"/>
        <v>-897.57646020185007</v>
      </c>
      <c r="K8" s="2">
        <f t="shared" si="1"/>
        <v>-32.336302150065933</v>
      </c>
      <c r="L8" s="2">
        <f t="shared" si="8"/>
        <v>-905.41646020184612</v>
      </c>
      <c r="M8" s="2">
        <f t="shared" si="2"/>
        <v>2.5387626782920294</v>
      </c>
      <c r="N8" s="2">
        <f t="shared" si="3"/>
        <v>1.2848936515703897</v>
      </c>
    </row>
    <row r="9" spans="1:14" x14ac:dyDescent="0.2">
      <c r="A9">
        <v>29</v>
      </c>
      <c r="B9">
        <v>88</v>
      </c>
      <c r="C9">
        <f t="shared" si="9"/>
        <v>1.2848936515703897</v>
      </c>
      <c r="D9">
        <f t="shared" si="10"/>
        <v>2.5387626782920294</v>
      </c>
      <c r="E9">
        <f t="shared" si="11"/>
        <v>74.909011322039234</v>
      </c>
      <c r="F9" s="2">
        <f t="shared" si="0"/>
        <v>171.37398456649697</v>
      </c>
      <c r="G9" s="2">
        <f t="shared" si="4"/>
        <v>171.11226479293762</v>
      </c>
      <c r="H9" s="2">
        <f t="shared" si="5"/>
        <v>-26.171977355934928</v>
      </c>
      <c r="I9" s="2">
        <f t="shared" si="6"/>
        <v>163.86531113327993</v>
      </c>
      <c r="J9" s="2">
        <f t="shared" si="7"/>
        <v>-750.86734332170408</v>
      </c>
      <c r="K9" s="2">
        <f t="shared" si="1"/>
        <v>-26.181977355921532</v>
      </c>
      <c r="L9" s="2">
        <f t="shared" si="8"/>
        <v>-759.2773433217244</v>
      </c>
      <c r="M9" s="2">
        <f t="shared" si="2"/>
        <v>2.6146904126242019</v>
      </c>
      <c r="N9" s="2">
        <f t="shared" si="3"/>
        <v>1.2875118493059818</v>
      </c>
    </row>
    <row r="10" spans="1:14" x14ac:dyDescent="0.2">
      <c r="A10">
        <v>72</v>
      </c>
      <c r="B10">
        <v>174</v>
      </c>
      <c r="C10">
        <f t="shared" si="9"/>
        <v>1.2875118493059818</v>
      </c>
      <c r="D10">
        <f t="shared" si="10"/>
        <v>2.6146904126242019</v>
      </c>
      <c r="E10">
        <f t="shared" si="11"/>
        <v>189.54522155824853</v>
      </c>
      <c r="F10" s="2">
        <f t="shared" si="0"/>
        <v>241.65391329503478</v>
      </c>
      <c r="G10" s="2">
        <f t="shared" si="4"/>
        <v>241.96491772619947</v>
      </c>
      <c r="H10" s="2">
        <f t="shared" si="5"/>
        <v>31.100443116469023</v>
      </c>
      <c r="I10" s="2">
        <f t="shared" si="6"/>
        <v>264.55743233891172</v>
      </c>
      <c r="J10" s="2">
        <f t="shared" si="7"/>
        <v>2290.351904387694</v>
      </c>
      <c r="K10" s="2">
        <f t="shared" si="1"/>
        <v>31.090443116497056</v>
      </c>
      <c r="L10" s="2">
        <f t="shared" si="8"/>
        <v>2238.511904387788</v>
      </c>
      <c r="M10" s="2">
        <f t="shared" si="2"/>
        <v>2.3908392221854231</v>
      </c>
      <c r="N10" s="2">
        <f t="shared" si="3"/>
        <v>1.2844028049943321</v>
      </c>
    </row>
    <row r="11" spans="1:14" x14ac:dyDescent="0.2">
      <c r="A11">
        <v>62</v>
      </c>
      <c r="B11">
        <v>154</v>
      </c>
      <c r="C11">
        <f t="shared" si="9"/>
        <v>1.2844028049943321</v>
      </c>
      <c r="D11">
        <f t="shared" si="10"/>
        <v>2.3908392221854231</v>
      </c>
      <c r="E11">
        <f t="shared" si="11"/>
        <v>149.51643458049057</v>
      </c>
      <c r="F11" s="2">
        <f t="shared" si="0"/>
        <v>20.10235887102079</v>
      </c>
      <c r="G11" s="2">
        <f t="shared" si="4"/>
        <v>20.012787562630681</v>
      </c>
      <c r="H11" s="2">
        <f t="shared" si="5"/>
        <v>-8.9571308390109294</v>
      </c>
      <c r="I11" s="2">
        <f t="shared" si="6"/>
        <v>14.927137750829278</v>
      </c>
      <c r="J11" s="2">
        <f t="shared" si="7"/>
        <v>-517.52211201915122</v>
      </c>
      <c r="K11" s="2">
        <f t="shared" si="1"/>
        <v>-8.9671308390188642</v>
      </c>
      <c r="L11" s="2">
        <f t="shared" si="8"/>
        <v>-555.96211201916958</v>
      </c>
      <c r="M11" s="2">
        <f t="shared" si="2"/>
        <v>2.4464354333873399</v>
      </c>
      <c r="N11" s="2">
        <f t="shared" si="3"/>
        <v>1.2852995180782341</v>
      </c>
    </row>
    <row r="12" spans="1:14" x14ac:dyDescent="0.2">
      <c r="A12">
        <v>84</v>
      </c>
      <c r="B12">
        <v>198</v>
      </c>
      <c r="C12">
        <f t="shared" si="9"/>
        <v>1.2852995180782341</v>
      </c>
      <c r="D12">
        <f t="shared" si="10"/>
        <v>2.4464354333873399</v>
      </c>
      <c r="E12">
        <f t="shared" si="11"/>
        <v>206.78587592261479</v>
      </c>
      <c r="F12" s="2">
        <f t="shared" si="0"/>
        <v>77.191615727582331</v>
      </c>
      <c r="G12" s="2">
        <f t="shared" si="4"/>
        <v>77.367433246034466</v>
      </c>
      <c r="H12" s="2">
        <f t="shared" si="5"/>
        <v>17.581751845213489</v>
      </c>
      <c r="I12" s="2">
        <f t="shared" si="6"/>
        <v>92.657487277574702</v>
      </c>
      <c r="J12" s="2">
        <f t="shared" si="7"/>
        <v>1546.5871549992371</v>
      </c>
      <c r="K12" s="2">
        <f t="shared" si="1"/>
        <v>17.571751845229585</v>
      </c>
      <c r="L12" s="2">
        <f t="shared" si="8"/>
        <v>1476.0271549992851</v>
      </c>
      <c r="M12" s="2">
        <f t="shared" si="2"/>
        <v>2.2988327178874113</v>
      </c>
      <c r="N12" s="2">
        <f t="shared" si="3"/>
        <v>1.2835423428937112</v>
      </c>
    </row>
    <row r="13" spans="1:14" x14ac:dyDescent="0.2">
      <c r="A13">
        <v>15</v>
      </c>
      <c r="B13">
        <v>60</v>
      </c>
      <c r="C13">
        <f t="shared" si="9"/>
        <v>1.2835423428937112</v>
      </c>
      <c r="D13">
        <f t="shared" si="10"/>
        <v>2.2988327178874113</v>
      </c>
      <c r="E13">
        <f t="shared" si="11"/>
        <v>35.766033111204877</v>
      </c>
      <c r="F13" s="2">
        <f t="shared" si="0"/>
        <v>587.28515116721837</v>
      </c>
      <c r="G13" s="2">
        <f t="shared" si="4"/>
        <v>586.80057182944256</v>
      </c>
      <c r="H13" s="2">
        <f t="shared" si="5"/>
        <v>-48.457933777581275</v>
      </c>
      <c r="I13" s="2">
        <f t="shared" si="6"/>
        <v>580.03746110057989</v>
      </c>
      <c r="J13" s="2">
        <f t="shared" si="7"/>
        <v>-724.76900666384836</v>
      </c>
      <c r="K13" s="2">
        <f t="shared" si="1"/>
        <v>-48.467933777590247</v>
      </c>
      <c r="L13" s="2">
        <f t="shared" si="8"/>
        <v>-727.0190066638537</v>
      </c>
      <c r="M13" s="2">
        <f t="shared" si="2"/>
        <v>2.3715346185537967</v>
      </c>
      <c r="N13" s="2">
        <f t="shared" si="3"/>
        <v>1.2883891362714701</v>
      </c>
    </row>
    <row r="14" spans="1:14" x14ac:dyDescent="0.2">
      <c r="A14">
        <v>42</v>
      </c>
      <c r="B14">
        <v>114</v>
      </c>
      <c r="C14">
        <f t="shared" si="9"/>
        <v>1.2883891362714701</v>
      </c>
      <c r="D14">
        <f t="shared" si="10"/>
        <v>2.3715346185537967</v>
      </c>
      <c r="E14">
        <f t="shared" si="11"/>
        <v>100.89284311553094</v>
      </c>
      <c r="F14" s="2">
        <f t="shared" si="0"/>
        <v>171.79756159408475</v>
      </c>
      <c r="G14" s="2">
        <f t="shared" si="4"/>
        <v>171.53551845639561</v>
      </c>
      <c r="H14" s="2">
        <f t="shared" si="5"/>
        <v>-26.204313768914744</v>
      </c>
      <c r="I14" s="2">
        <f t="shared" si="6"/>
        <v>160.96394981113107</v>
      </c>
      <c r="J14" s="2">
        <f t="shared" si="7"/>
        <v>-1083.3611782953681</v>
      </c>
      <c r="K14" s="2">
        <f t="shared" si="1"/>
        <v>-26.214313768938126</v>
      </c>
      <c r="L14" s="2">
        <f t="shared" si="8"/>
        <v>-1101.0011782954014</v>
      </c>
      <c r="M14" s="2">
        <f t="shared" si="2"/>
        <v>2.4816347363833366</v>
      </c>
      <c r="N14" s="2">
        <f t="shared" si="3"/>
        <v>1.2910105676483639</v>
      </c>
    </row>
    <row r="15" spans="1:14" x14ac:dyDescent="0.2">
      <c r="A15">
        <v>62</v>
      </c>
      <c r="B15">
        <v>154</v>
      </c>
      <c r="C15">
        <f>N14</f>
        <v>1.2910105676483639</v>
      </c>
      <c r="D15">
        <f>M14</f>
        <v>2.4816347363833366</v>
      </c>
      <c r="E15">
        <f t="shared" si="11"/>
        <v>155.15236422341522</v>
      </c>
      <c r="F15" s="2">
        <f t="shared" si="0"/>
        <v>1.3279433034073611</v>
      </c>
      <c r="G15" s="2">
        <f t="shared" si="4"/>
        <v>1.3510905878757105</v>
      </c>
      <c r="H15" s="2">
        <f t="shared" si="5"/>
        <v>2.3147284468349349</v>
      </c>
      <c r="I15" s="2">
        <f t="shared" si="6"/>
        <v>3.1412749404422491</v>
      </c>
      <c r="J15" s="2">
        <f t="shared" si="7"/>
        <v>181.33316370348879</v>
      </c>
      <c r="K15" s="2">
        <f t="shared" si="1"/>
        <v>2.3047284468304383</v>
      </c>
      <c r="L15" s="2">
        <f t="shared" si="8"/>
        <v>142.89316370348718</v>
      </c>
      <c r="M15" s="2">
        <f t="shared" si="2"/>
        <v>2.4673454200129878</v>
      </c>
      <c r="N15" s="2">
        <f t="shared" si="3"/>
        <v>1.2907800948036807</v>
      </c>
    </row>
    <row r="16" spans="1:14" x14ac:dyDescent="0.2">
      <c r="A16">
        <v>47</v>
      </c>
      <c r="B16">
        <v>124</v>
      </c>
      <c r="C16">
        <f t="shared" si="9"/>
        <v>1.2907800948036807</v>
      </c>
      <c r="D16">
        <f t="shared" si="10"/>
        <v>2.4673454200129878</v>
      </c>
      <c r="E16">
        <f t="shared" si="11"/>
        <v>117.25601483541411</v>
      </c>
      <c r="F16" s="2">
        <f t="shared" si="0"/>
        <v>45.481335900154626</v>
      </c>
      <c r="G16" s="2">
        <f t="shared" si="4"/>
        <v>45.346556196862835</v>
      </c>
      <c r="H16" s="2">
        <f t="shared" si="5"/>
        <v>-13.477970329179101</v>
      </c>
      <c r="I16" s="2">
        <f t="shared" si="6"/>
        <v>39.362889845444073</v>
      </c>
      <c r="J16" s="2">
        <f t="shared" si="7"/>
        <v>-611.84460547105527</v>
      </c>
      <c r="K16" s="2">
        <f t="shared" si="1"/>
        <v>-13.487970329171787</v>
      </c>
      <c r="L16" s="2">
        <f t="shared" si="8"/>
        <v>-633.93460547107406</v>
      </c>
      <c r="M16" s="2">
        <f t="shared" si="2"/>
        <v>2.5307388805600954</v>
      </c>
      <c r="N16" s="2">
        <f t="shared" si="3"/>
        <v>1.2921288918365978</v>
      </c>
    </row>
    <row r="17" spans="1:14" x14ac:dyDescent="0.2">
      <c r="A17">
        <v>35</v>
      </c>
      <c r="B17">
        <v>100</v>
      </c>
      <c r="C17">
        <f t="shared" si="9"/>
        <v>1.2921288918365978</v>
      </c>
      <c r="D17">
        <f t="shared" si="10"/>
        <v>2.5307388805600954</v>
      </c>
      <c r="E17">
        <f t="shared" si="11"/>
        <v>89.867989711439932</v>
      </c>
      <c r="F17" s="2">
        <f t="shared" si="0"/>
        <v>102.65763248748706</v>
      </c>
      <c r="G17" s="2">
        <f t="shared" si="4"/>
        <v>102.45509228171576</v>
      </c>
      <c r="H17" s="2">
        <f t="shared" si="5"/>
        <v>-20.25402057712995</v>
      </c>
      <c r="I17" s="2">
        <f t="shared" si="6"/>
        <v>95.687725285495134</v>
      </c>
      <c r="J17" s="2">
        <f t="shared" si="7"/>
        <v>-696.99072019919299</v>
      </c>
      <c r="K17" s="2">
        <f t="shared" si="1"/>
        <v>-20.264020577120135</v>
      </c>
      <c r="L17" s="2">
        <f t="shared" si="8"/>
        <v>-709.2407201992047</v>
      </c>
      <c r="M17" s="2">
        <f t="shared" si="2"/>
        <v>2.6016629525800159</v>
      </c>
      <c r="N17" s="2">
        <f t="shared" si="3"/>
        <v>1.2941552938943099</v>
      </c>
    </row>
    <row r="18" spans="1:14" x14ac:dyDescent="0.2">
      <c r="A18">
        <v>9</v>
      </c>
      <c r="B18">
        <v>48</v>
      </c>
      <c r="C18">
        <f t="shared" si="9"/>
        <v>1.2941552938943099</v>
      </c>
      <c r="D18">
        <f t="shared" si="10"/>
        <v>2.6016629525800159</v>
      </c>
      <c r="E18">
        <f t="shared" si="11"/>
        <v>24.709121867114451</v>
      </c>
      <c r="F18" s="2">
        <f t="shared" si="0"/>
        <v>542.46500420092627</v>
      </c>
      <c r="G18" s="2">
        <f t="shared" si="4"/>
        <v>541.99928663826847</v>
      </c>
      <c r="H18" s="2">
        <f t="shared" si="5"/>
        <v>-46.571756265780095</v>
      </c>
      <c r="I18" s="2">
        <f t="shared" si="6"/>
        <v>538.28074613700687</v>
      </c>
      <c r="J18" s="2">
        <f t="shared" si="7"/>
        <v>-418.42580639194011</v>
      </c>
      <c r="K18" s="2">
        <f t="shared" si="1"/>
        <v>-46.581756265771098</v>
      </c>
      <c r="L18" s="2">
        <f t="shared" si="8"/>
        <v>-419.23580639193989</v>
      </c>
      <c r="M18" s="2">
        <f t="shared" si="2"/>
        <v>2.6435865332192101</v>
      </c>
      <c r="N18" s="2">
        <f t="shared" si="3"/>
        <v>1.2988134695208871</v>
      </c>
    </row>
    <row r="19" spans="1:14" x14ac:dyDescent="0.2">
      <c r="A19">
        <v>38</v>
      </c>
      <c r="B19">
        <v>106</v>
      </c>
      <c r="C19">
        <f t="shared" si="9"/>
        <v>1.2988134695208871</v>
      </c>
      <c r="D19">
        <f t="shared" si="10"/>
        <v>2.6435865332192101</v>
      </c>
      <c r="E19">
        <f t="shared" si="11"/>
        <v>101.75510173185089</v>
      </c>
      <c r="F19" s="2">
        <f t="shared" si="0"/>
        <v>18.019161306935352</v>
      </c>
      <c r="G19" s="2">
        <f t="shared" si="4"/>
        <v>17.934363341572446</v>
      </c>
      <c r="H19" s="2">
        <f t="shared" si="5"/>
        <v>-8.4797965362906069</v>
      </c>
      <c r="I19" s="2">
        <f t="shared" si="6"/>
        <v>14.937438623142279</v>
      </c>
      <c r="J19" s="2">
        <f t="shared" si="7"/>
        <v>-308.1722683793073</v>
      </c>
      <c r="K19" s="2">
        <f t="shared" si="1"/>
        <v>-8.4897965362982291</v>
      </c>
      <c r="L19" s="2">
        <f t="shared" si="8"/>
        <v>-322.6122683793327</v>
      </c>
      <c r="M19" s="2">
        <f t="shared" si="2"/>
        <v>2.6758477600571435</v>
      </c>
      <c r="N19" s="2">
        <f t="shared" si="3"/>
        <v>1.2996624491745168</v>
      </c>
    </row>
    <row r="20" spans="1:14" x14ac:dyDescent="0.2">
      <c r="A20">
        <v>44</v>
      </c>
      <c r="B20">
        <v>118</v>
      </c>
      <c r="C20">
        <f t="shared" si="9"/>
        <v>1.2996624491745168</v>
      </c>
      <c r="D20">
        <f t="shared" si="10"/>
        <v>2.6758477600571435</v>
      </c>
      <c r="E20">
        <f t="shared" si="11"/>
        <v>119.03696389168883</v>
      </c>
      <c r="F20" s="2">
        <f t="shared" si="0"/>
        <v>1.0752941126664388</v>
      </c>
      <c r="G20" s="2">
        <f t="shared" si="4"/>
        <v>1.0961333905001964</v>
      </c>
      <c r="H20" s="2">
        <f t="shared" si="5"/>
        <v>2.0839277833757608</v>
      </c>
      <c r="I20" s="2">
        <f t="shared" si="6"/>
        <v>2.1814223373526005</v>
      </c>
      <c r="J20" s="2">
        <f t="shared" si="7"/>
        <v>110.61282246861616</v>
      </c>
      <c r="K20" s="2">
        <f t="shared" si="1"/>
        <v>2.0739277833776555</v>
      </c>
      <c r="L20" s="2">
        <f t="shared" si="8"/>
        <v>91.252822468616841</v>
      </c>
      <c r="M20" s="2">
        <f t="shared" si="2"/>
        <v>2.666722477810282</v>
      </c>
      <c r="N20" s="2">
        <f t="shared" si="3"/>
        <v>1.2994550563961791</v>
      </c>
    </row>
    <row r="21" spans="1:14" x14ac:dyDescent="0.2">
      <c r="A21">
        <v>99</v>
      </c>
      <c r="B21">
        <v>228</v>
      </c>
      <c r="C21">
        <f t="shared" si="9"/>
        <v>1.2994550563961791</v>
      </c>
      <c r="D21">
        <f t="shared" si="10"/>
        <v>2.666722477810282</v>
      </c>
      <c r="E21">
        <f t="shared" si="11"/>
        <v>265.30498035961415</v>
      </c>
      <c r="F21" s="2">
        <f t="shared" si="0"/>
        <v>1391.6615596311974</v>
      </c>
      <c r="G21" s="2">
        <f t="shared" si="4"/>
        <v>1392.407759238389</v>
      </c>
      <c r="H21" s="2">
        <f t="shared" si="5"/>
        <v>74.619960719155642</v>
      </c>
      <c r="I21" s="2">
        <f t="shared" si="6"/>
        <v>1466.5055207432297</v>
      </c>
      <c r="J21" s="2">
        <f t="shared" si="7"/>
        <v>7484.3961112032275</v>
      </c>
      <c r="K21" s="2">
        <f t="shared" si="1"/>
        <v>74.609960719228297</v>
      </c>
      <c r="L21" s="2">
        <f t="shared" si="8"/>
        <v>7386.3861112036011</v>
      </c>
      <c r="M21" s="2">
        <f t="shared" si="2"/>
        <v>1.928083866689922</v>
      </c>
      <c r="N21" s="2">
        <f t="shared" si="3"/>
        <v>1.2919940603242563</v>
      </c>
    </row>
    <row r="22" spans="1:14" x14ac:dyDescent="0.2">
      <c r="A22">
        <v>13</v>
      </c>
      <c r="B22">
        <v>56</v>
      </c>
      <c r="C22">
        <f t="shared" si="9"/>
        <v>1.2919940603242563</v>
      </c>
      <c r="D22">
        <f t="shared" si="10"/>
        <v>1.928083866689922</v>
      </c>
      <c r="E22">
        <f t="shared" si="11"/>
        <v>26.357084327293244</v>
      </c>
      <c r="F22" s="2">
        <f t="shared" si="0"/>
        <v>878.70244957920386</v>
      </c>
      <c r="G22" s="2">
        <f t="shared" si="4"/>
        <v>878.1096912657498</v>
      </c>
      <c r="H22" s="2">
        <f t="shared" si="5"/>
        <v>-59.27583134540555</v>
      </c>
      <c r="I22" s="2">
        <f t="shared" si="6"/>
        <v>871.01219150430018</v>
      </c>
      <c r="J22" s="2">
        <f t="shared" si="7"/>
        <v>-769.02580749036815</v>
      </c>
      <c r="K22" s="2">
        <f t="shared" si="1"/>
        <v>-59.285831345413513</v>
      </c>
      <c r="L22" s="2">
        <f t="shared" si="8"/>
        <v>-770.71580749037571</v>
      </c>
      <c r="M22" s="2">
        <f t="shared" si="2"/>
        <v>2.0051554474389595</v>
      </c>
      <c r="N22" s="2">
        <f t="shared" si="3"/>
        <v>1.2979226434587976</v>
      </c>
    </row>
    <row r="23" spans="1:14" x14ac:dyDescent="0.2">
      <c r="A23">
        <v>21</v>
      </c>
      <c r="B23">
        <v>72</v>
      </c>
      <c r="C23">
        <f t="shared" si="9"/>
        <v>1.2979226434587976</v>
      </c>
      <c r="D23">
        <f t="shared" si="10"/>
        <v>2.0051554474389595</v>
      </c>
      <c r="E23">
        <f t="shared" si="11"/>
        <v>43.406187039676944</v>
      </c>
      <c r="F23" s="2">
        <f t="shared" si="0"/>
        <v>817.60613960993874</v>
      </c>
      <c r="G23" s="2">
        <f t="shared" si="4"/>
        <v>817.03436335073241</v>
      </c>
      <c r="H23" s="2">
        <f t="shared" si="5"/>
        <v>-57.177625920633091</v>
      </c>
      <c r="I23" s="2">
        <f t="shared" si="6"/>
        <v>805.64083816660309</v>
      </c>
      <c r="J23" s="2">
        <f t="shared" si="7"/>
        <v>-1196.5301443335647</v>
      </c>
      <c r="K23" s="2">
        <f t="shared" si="1"/>
        <v>-57.187625920646113</v>
      </c>
      <c r="L23" s="2">
        <f t="shared" si="8"/>
        <v>-1200.9401443335685</v>
      </c>
      <c r="M23" s="2">
        <f t="shared" si="2"/>
        <v>2.1252494618723161</v>
      </c>
      <c r="N23" s="2">
        <f t="shared" si="3"/>
        <v>1.3036414060508623</v>
      </c>
    </row>
    <row r="24" spans="1:14" x14ac:dyDescent="0.2">
      <c r="A24">
        <v>28</v>
      </c>
      <c r="B24">
        <v>86</v>
      </c>
      <c r="C24">
        <f t="shared" si="9"/>
        <v>1.3036414060508623</v>
      </c>
      <c r="D24">
        <f t="shared" si="10"/>
        <v>2.1252494618723161</v>
      </c>
      <c r="E24">
        <f t="shared" si="11"/>
        <v>60.810626338475714</v>
      </c>
      <c r="F24" s="2">
        <f t="shared" si="0"/>
        <v>634.50454545989339</v>
      </c>
      <c r="G24" s="2">
        <f t="shared" si="4"/>
        <v>634.00085798666305</v>
      </c>
      <c r="H24" s="2">
        <f t="shared" si="5"/>
        <v>-50.368747323034313</v>
      </c>
      <c r="I24" s="2">
        <f t="shared" si="6"/>
        <v>620.47689620944016</v>
      </c>
      <c r="J24" s="2">
        <f t="shared" si="7"/>
        <v>-1402.7649250453237</v>
      </c>
      <c r="K24" s="2">
        <f t="shared" si="1"/>
        <v>-50.378747323048572</v>
      </c>
      <c r="L24" s="2">
        <f t="shared" si="8"/>
        <v>-1410.60492504536</v>
      </c>
      <c r="M24" s="2">
        <f t="shared" si="2"/>
        <v>2.2663099543768519</v>
      </c>
      <c r="N24" s="2">
        <f t="shared" si="3"/>
        <v>1.3086792807831671</v>
      </c>
    </row>
    <row r="25" spans="1:14" x14ac:dyDescent="0.2">
      <c r="A25">
        <v>20</v>
      </c>
      <c r="B25">
        <v>70</v>
      </c>
      <c r="C25">
        <f t="shared" si="9"/>
        <v>1.3086792807831671</v>
      </c>
      <c r="D25">
        <f t="shared" si="10"/>
        <v>2.2663099543768519</v>
      </c>
      <c r="E25">
        <f t="shared" si="11"/>
        <v>46.634878368320202</v>
      </c>
      <c r="F25" s="2">
        <f t="shared" si="0"/>
        <v>545.92890886319128</v>
      </c>
      <c r="G25" s="2">
        <f t="shared" si="4"/>
        <v>545.4617064305578</v>
      </c>
      <c r="H25" s="2">
        <f t="shared" si="5"/>
        <v>-46.720243263348493</v>
      </c>
      <c r="I25" s="2">
        <f t="shared" si="6"/>
        <v>536.62286021051921</v>
      </c>
      <c r="J25" s="2">
        <f t="shared" si="7"/>
        <v>-930.60486526720751</v>
      </c>
      <c r="K25" s="2">
        <f t="shared" si="1"/>
        <v>-46.730243263359597</v>
      </c>
      <c r="L25" s="2">
        <f t="shared" si="8"/>
        <v>-934.60486526719194</v>
      </c>
      <c r="M25" s="2">
        <f t="shared" si="2"/>
        <v>2.3597704409035711</v>
      </c>
      <c r="N25" s="2">
        <f t="shared" si="3"/>
        <v>1.3133523051095031</v>
      </c>
    </row>
    <row r="26" spans="1:14" x14ac:dyDescent="0.2">
      <c r="A26">
        <v>8</v>
      </c>
      <c r="B26">
        <v>46</v>
      </c>
      <c r="C26">
        <f t="shared" si="9"/>
        <v>1.3133523051095031</v>
      </c>
      <c r="D26">
        <f t="shared" si="10"/>
        <v>2.3597704409035711</v>
      </c>
      <c r="E26">
        <f t="shared" si="11"/>
        <v>20.191515832338073</v>
      </c>
      <c r="F26" s="2">
        <f t="shared" si="0"/>
        <v>666.07785503245634</v>
      </c>
      <c r="G26" s="2">
        <f t="shared" si="4"/>
        <v>665.56178534910316</v>
      </c>
      <c r="H26" s="2">
        <f t="shared" si="5"/>
        <v>-51.606968335318015</v>
      </c>
      <c r="I26" s="2">
        <f t="shared" si="6"/>
        <v>661.95489756563052</v>
      </c>
      <c r="J26" s="2">
        <f t="shared" si="7"/>
        <v>-412.29574668258238</v>
      </c>
      <c r="K26" s="2">
        <f t="shared" si="1"/>
        <v>-51.616968335323854</v>
      </c>
      <c r="L26" s="2">
        <f t="shared" si="8"/>
        <v>-412.93574668259083</v>
      </c>
      <c r="M26" s="2">
        <f t="shared" si="2"/>
        <v>2.4010640155718304</v>
      </c>
      <c r="N26" s="2">
        <f t="shared" si="3"/>
        <v>1.3185140019430355</v>
      </c>
    </row>
    <row r="27" spans="1:14" x14ac:dyDescent="0.2">
      <c r="A27">
        <v>64</v>
      </c>
      <c r="B27">
        <v>158</v>
      </c>
      <c r="C27">
        <f t="shared" si="9"/>
        <v>1.3185140019430355</v>
      </c>
      <c r="D27">
        <f t="shared" si="10"/>
        <v>2.4010640155718304</v>
      </c>
      <c r="E27">
        <f t="shared" si="11"/>
        <v>154.98661099854019</v>
      </c>
      <c r="F27" s="2">
        <f t="shared" si="0"/>
        <v>9.0805132741189727</v>
      </c>
      <c r="G27" s="2">
        <f t="shared" si="4"/>
        <v>9.0203454940898311</v>
      </c>
      <c r="H27" s="2">
        <f t="shared" si="5"/>
        <v>-6.0167780029141582</v>
      </c>
      <c r="I27" s="2">
        <f t="shared" si="6"/>
        <v>5.632975352250476</v>
      </c>
      <c r="J27" s="2">
        <f t="shared" si="7"/>
        <v>-344.75379218684964</v>
      </c>
      <c r="K27" s="2">
        <f t="shared" si="1"/>
        <v>-6.0267780029196274</v>
      </c>
      <c r="L27" s="2">
        <f t="shared" si="8"/>
        <v>-385.71379218685615</v>
      </c>
      <c r="M27" s="2">
        <f t="shared" si="2"/>
        <v>2.4396353947905158</v>
      </c>
      <c r="N27" s="2">
        <f t="shared" si="3"/>
        <v>1.3191166797433274</v>
      </c>
    </row>
    <row r="28" spans="1:14" x14ac:dyDescent="0.2">
      <c r="A28">
        <v>99</v>
      </c>
      <c r="B28">
        <v>228</v>
      </c>
      <c r="C28">
        <f t="shared" si="9"/>
        <v>1.3191166797433274</v>
      </c>
      <c r="D28">
        <f t="shared" si="10"/>
        <v>2.4396353947905158</v>
      </c>
      <c r="E28">
        <f t="shared" si="11"/>
        <v>242.84302076400439</v>
      </c>
      <c r="F28" s="2">
        <f t="shared" si="0"/>
        <v>220.31526540066557</v>
      </c>
      <c r="G28" s="2">
        <f t="shared" si="4"/>
        <v>220.61222581594538</v>
      </c>
      <c r="H28" s="2">
        <f t="shared" si="5"/>
        <v>29.696041527981265</v>
      </c>
      <c r="I28" s="2">
        <f t="shared" si="6"/>
        <v>250.68454651339366</v>
      </c>
      <c r="J28" s="2">
        <f t="shared" si="7"/>
        <v>3036.928111272809</v>
      </c>
      <c r="K28" s="2">
        <f t="shared" si="1"/>
        <v>29.686041528008786</v>
      </c>
      <c r="L28" s="2">
        <f t="shared" si="8"/>
        <v>2938.9181112728697</v>
      </c>
      <c r="M28" s="2">
        <f t="shared" si="2"/>
        <v>2.1457435836632288</v>
      </c>
      <c r="N28" s="2">
        <f t="shared" si="3"/>
        <v>1.3161480755905264</v>
      </c>
    </row>
    <row r="29" spans="1:14" x14ac:dyDescent="0.2">
      <c r="A29">
        <v>70</v>
      </c>
      <c r="B29">
        <v>170</v>
      </c>
      <c r="C29">
        <f t="shared" si="9"/>
        <v>1.3161480755905264</v>
      </c>
      <c r="D29">
        <f t="shared" si="10"/>
        <v>2.1457435836632288</v>
      </c>
      <c r="E29">
        <f t="shared" si="11"/>
        <v>151.51819893201653</v>
      </c>
      <c r="F29" s="2">
        <f t="shared" si="0"/>
        <v>341.57697071651489</v>
      </c>
      <c r="G29" s="2">
        <f t="shared" si="4"/>
        <v>341.20743469515452</v>
      </c>
      <c r="H29" s="2">
        <f t="shared" si="5"/>
        <v>-36.953602136037489</v>
      </c>
      <c r="I29" s="2">
        <f t="shared" si="6"/>
        <v>316.19244922133845</v>
      </c>
      <c r="J29" s="2">
        <f t="shared" si="7"/>
        <v>-2538.4521495176441</v>
      </c>
      <c r="K29" s="2">
        <f t="shared" si="1"/>
        <v>-36.963602135966937</v>
      </c>
      <c r="L29" s="2">
        <f t="shared" si="8"/>
        <v>-2587.4521495176855</v>
      </c>
      <c r="M29" s="2">
        <f t="shared" si="2"/>
        <v>2.4044887986149974</v>
      </c>
      <c r="N29" s="2">
        <f t="shared" si="3"/>
        <v>1.319844435804123</v>
      </c>
    </row>
    <row r="30" spans="1:14" x14ac:dyDescent="0.2">
      <c r="A30">
        <v>27</v>
      </c>
      <c r="B30">
        <v>84</v>
      </c>
      <c r="C30">
        <f t="shared" si="9"/>
        <v>1.319844435804123</v>
      </c>
      <c r="D30">
        <f t="shared" si="10"/>
        <v>2.4044887986149974</v>
      </c>
      <c r="E30">
        <f t="shared" si="11"/>
        <v>66.241041998409059</v>
      </c>
      <c r="F30" s="2">
        <f t="shared" si="0"/>
        <v>315.38058930227089</v>
      </c>
      <c r="G30" s="2">
        <f t="shared" si="4"/>
        <v>315.0255101422394</v>
      </c>
      <c r="H30" s="2">
        <f t="shared" si="5"/>
        <v>-35.507916003149376</v>
      </c>
      <c r="I30" s="2">
        <f t="shared" si="6"/>
        <v>305.86365198141192</v>
      </c>
      <c r="J30" s="2">
        <f t="shared" si="7"/>
        <v>-951.69373208589718</v>
      </c>
      <c r="K30" s="2">
        <f t="shared" si="1"/>
        <v>-35.517916003181881</v>
      </c>
      <c r="L30" s="2">
        <f t="shared" si="8"/>
        <v>-958.98373208591079</v>
      </c>
      <c r="M30" s="2">
        <f t="shared" si="2"/>
        <v>2.5003871718235886</v>
      </c>
      <c r="N30" s="2">
        <f t="shared" si="3"/>
        <v>1.3233962274044413</v>
      </c>
    </row>
    <row r="31" spans="1:14" x14ac:dyDescent="0.2">
      <c r="A31">
        <v>17</v>
      </c>
      <c r="B31">
        <v>64</v>
      </c>
      <c r="C31">
        <f t="shared" si="9"/>
        <v>1.3233962274044413</v>
      </c>
      <c r="D31">
        <f t="shared" si="10"/>
        <v>2.5003871718235886</v>
      </c>
      <c r="E31">
        <f t="shared" si="11"/>
        <v>43.829978148405452</v>
      </c>
      <c r="F31" s="2">
        <f t="shared" si="0"/>
        <v>406.82978149380153</v>
      </c>
      <c r="G31" s="2">
        <f t="shared" si="4"/>
        <v>406.42648105676977</v>
      </c>
      <c r="H31" s="2">
        <f t="shared" si="5"/>
        <v>-40.330043703175988</v>
      </c>
      <c r="I31" s="2">
        <f t="shared" si="6"/>
        <v>400.00087406425962</v>
      </c>
      <c r="J31" s="2">
        <f t="shared" si="7"/>
        <v>-682.89074295419141</v>
      </c>
      <c r="K31" s="2">
        <f t="shared" si="1"/>
        <v>-40.340043703189096</v>
      </c>
      <c r="L31" s="2">
        <f t="shared" si="8"/>
        <v>-685.78074295421459</v>
      </c>
      <c r="M31" s="2">
        <f t="shared" si="2"/>
        <v>2.56896524611901</v>
      </c>
      <c r="N31" s="2">
        <f t="shared" si="3"/>
        <v>1.3274302317747602</v>
      </c>
    </row>
    <row r="32" spans="1:14" x14ac:dyDescent="0.2">
      <c r="A32">
        <v>8</v>
      </c>
      <c r="B32">
        <v>46</v>
      </c>
      <c r="C32">
        <f t="shared" si="9"/>
        <v>1.3274302317747602</v>
      </c>
      <c r="D32">
        <f t="shared" si="10"/>
        <v>2.56896524611901</v>
      </c>
      <c r="E32">
        <f t="shared" si="11"/>
        <v>21.879152200726839</v>
      </c>
      <c r="F32" s="2">
        <f t="shared" si="0"/>
        <v>581.81529855570091</v>
      </c>
      <c r="G32" s="2">
        <f t="shared" si="4"/>
        <v>581.33298159971537</v>
      </c>
      <c r="H32" s="2">
        <f t="shared" si="5"/>
        <v>-48.23169559855387</v>
      </c>
      <c r="I32" s="2">
        <f t="shared" si="6"/>
        <v>577.96236290781724</v>
      </c>
      <c r="J32" s="2">
        <f t="shared" si="7"/>
        <v>-385.29356478836689</v>
      </c>
      <c r="K32" s="2">
        <f t="shared" si="1"/>
        <v>-48.241695598546322</v>
      </c>
      <c r="L32" s="2">
        <f t="shared" si="8"/>
        <v>-385.93356478837057</v>
      </c>
      <c r="M32" s="2">
        <f t="shared" si="2"/>
        <v>2.6075586025978472</v>
      </c>
      <c r="N32" s="2">
        <f t="shared" si="3"/>
        <v>1.3322544013346147</v>
      </c>
    </row>
    <row r="33" spans="3:12" x14ac:dyDescent="0.2">
      <c r="E33" t="s">
        <v>2</v>
      </c>
      <c r="F33" s="2">
        <f>SQRT(SUM(F4:F32))</f>
        <v>103.99322533093216</v>
      </c>
      <c r="K33" s="2">
        <f>SQRT(SUMSQ(K4:K32))</f>
        <v>207.98645066186432</v>
      </c>
      <c r="L33" s="2">
        <f>SQRT(SUMSQ(L4:L32))</f>
        <v>10536.690171363312</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0</xdr:rowOff>
                  </from>
                  <to>
                    <xdr:col>0</xdr:col>
                    <xdr:colOff>495300</xdr:colOff>
                    <xdr:row>1</xdr:row>
                    <xdr:rowOff>203200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495300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6.33203125" bestFit="1" customWidth="1"/>
    <col min="10" max="11" width="6.5" customWidth="1"/>
  </cols>
  <sheetData>
    <row r="1" spans="1:13" x14ac:dyDescent="0.2">
      <c r="B1" t="s">
        <v>21</v>
      </c>
      <c r="C1" s="4">
        <v>541.09375874846762</v>
      </c>
      <c r="D1" s="4" t="s">
        <v>14</v>
      </c>
      <c r="I1" t="s">
        <v>24</v>
      </c>
      <c r="J1">
        <v>0.9</v>
      </c>
      <c r="K1">
        <f>1-J1</f>
        <v>9.9999999999999978E-2</v>
      </c>
    </row>
    <row r="2" spans="1:13" x14ac:dyDescent="0.2">
      <c r="B2" t="s">
        <v>22</v>
      </c>
      <c r="C2" s="4">
        <v>3974.9314162832329</v>
      </c>
      <c r="D2">
        <v>1E-3</v>
      </c>
      <c r="F2" s="8"/>
      <c r="G2" s="8"/>
    </row>
    <row r="3" spans="1:13" s="1" customFormat="1" x14ac:dyDescent="0.2">
      <c r="A3" s="1" t="s">
        <v>15</v>
      </c>
      <c r="B3" s="1" t="s">
        <v>16</v>
      </c>
      <c r="C3" s="5" t="s">
        <v>21</v>
      </c>
      <c r="D3" s="5" t="s">
        <v>22</v>
      </c>
      <c r="E3" s="5" t="s">
        <v>18</v>
      </c>
      <c r="F3" s="7" t="s">
        <v>6</v>
      </c>
      <c r="G3" s="7" t="s">
        <v>9</v>
      </c>
      <c r="H3" s="1" t="s">
        <v>13</v>
      </c>
      <c r="I3" s="1" t="s">
        <v>12</v>
      </c>
      <c r="J3">
        <v>0</v>
      </c>
      <c r="K3">
        <v>0</v>
      </c>
      <c r="L3" s="1" t="s">
        <v>1</v>
      </c>
      <c r="M3" s="3"/>
    </row>
    <row r="4" spans="1:13" x14ac:dyDescent="0.2">
      <c r="A4">
        <v>14</v>
      </c>
      <c r="B4">
        <v>58</v>
      </c>
      <c r="C4" s="4">
        <f>C1</f>
        <v>541.09375874846762</v>
      </c>
      <c r="D4" s="4">
        <f>C2</f>
        <v>3974.9314162832329</v>
      </c>
      <c r="E4" s="4">
        <f>C4+D4*A4</f>
        <v>56190.133586713724</v>
      </c>
      <c r="F4" s="6">
        <f t="shared" ref="F4:F32" si="0">2*(D4*A4+C4-B4)</f>
        <v>112264.26717342745</v>
      </c>
      <c r="G4" s="6">
        <f t="shared" ref="G4:G32" si="1">F4*A4</f>
        <v>1571699.7404279844</v>
      </c>
      <c r="H4" s="2">
        <f>C4-J4*$D$2</f>
        <v>529.86733203112487</v>
      </c>
      <c r="I4" s="2">
        <f>D4-K4*$D$2</f>
        <v>3817.7614422404345</v>
      </c>
      <c r="J4">
        <f>J3*$J$1+$K$1*F4</f>
        <v>11226.426717342742</v>
      </c>
      <c r="K4">
        <f>K3*$J$1+$K$1*G4</f>
        <v>157169.97404279839</v>
      </c>
      <c r="L4">
        <f>(B4-E4)^2</f>
        <v>3150816420.996675</v>
      </c>
    </row>
    <row r="5" spans="1:13" x14ac:dyDescent="0.2">
      <c r="A5">
        <v>86</v>
      </c>
      <c r="B5">
        <v>202</v>
      </c>
      <c r="C5" s="4">
        <f>H4</f>
        <v>529.86733203112487</v>
      </c>
      <c r="D5" s="4">
        <f>I4</f>
        <v>3817.7614422404345</v>
      </c>
      <c r="E5" s="4">
        <f>C5+D5*A5</f>
        <v>328857.35136470851</v>
      </c>
      <c r="F5" s="6">
        <f t="shared" si="0"/>
        <v>657310.70272941701</v>
      </c>
      <c r="G5" s="6">
        <f t="shared" si="1"/>
        <v>56528720.434729859</v>
      </c>
      <c r="H5" s="2">
        <f t="shared" ref="H5:H32" si="2">C5-J5*$D$2</f>
        <v>454.03247771257475</v>
      </c>
      <c r="I5" s="2">
        <f t="shared" ref="I5:I32" si="3">D5-K5*$D$2</f>
        <v>-1976.5635778710689</v>
      </c>
      <c r="J5">
        <f t="shared" ref="J5:K20" si="4">J4*$J$1+$K$1*F5</f>
        <v>75834.854318550148</v>
      </c>
      <c r="K5">
        <f t="shared" si="4"/>
        <v>5794325.0201115031</v>
      </c>
      <c r="L5">
        <f t="shared" ref="L5:L32" si="5">(B5-E5)^2</f>
        <v>108014339980.66</v>
      </c>
    </row>
    <row r="6" spans="1:13" x14ac:dyDescent="0.2">
      <c r="A6">
        <v>28</v>
      </c>
      <c r="B6">
        <v>86</v>
      </c>
      <c r="C6" s="4">
        <f>H5</f>
        <v>454.03247771257475</v>
      </c>
      <c r="D6" s="4">
        <f>I5</f>
        <v>-1976.5635778710689</v>
      </c>
      <c r="E6" s="4">
        <f>C6+D6*A6</f>
        <v>-54889.747702677356</v>
      </c>
      <c r="F6" s="6">
        <f t="shared" si="0"/>
        <v>-109951.49540535471</v>
      </c>
      <c r="G6" s="6">
        <f t="shared" si="1"/>
        <v>-3078641.8713499317</v>
      </c>
      <c r="H6" s="2">
        <f t="shared" si="2"/>
        <v>396.77625836641505</v>
      </c>
      <c r="I6" s="2">
        <f t="shared" si="3"/>
        <v>-6883.591908836428</v>
      </c>
      <c r="J6">
        <f t="shared" si="4"/>
        <v>57256.219346159676</v>
      </c>
      <c r="K6">
        <f t="shared" si="4"/>
        <v>4907028.3309653597</v>
      </c>
      <c r="L6">
        <f t="shared" si="5"/>
        <v>3022332835.4684343</v>
      </c>
    </row>
    <row r="7" spans="1:13" x14ac:dyDescent="0.2">
      <c r="A7">
        <v>51</v>
      </c>
      <c r="B7">
        <v>132</v>
      </c>
      <c r="C7" s="4">
        <f t="shared" ref="C7:D32" si="6">H6</f>
        <v>396.77625836641505</v>
      </c>
      <c r="D7" s="4">
        <f t="shared" si="6"/>
        <v>-6883.591908836428</v>
      </c>
      <c r="E7" s="4">
        <f t="shared" ref="E7:E32" si="7">C7+D7*A7</f>
        <v>-350666.41109229141</v>
      </c>
      <c r="F7" s="6">
        <f t="shared" si="0"/>
        <v>-701596.82218458282</v>
      </c>
      <c r="G7" s="6">
        <f t="shared" si="1"/>
        <v>-35781437.931413725</v>
      </c>
      <c r="H7" s="2">
        <f t="shared" si="2"/>
        <v>415.40534317332958</v>
      </c>
      <c r="I7" s="2">
        <f t="shared" si="3"/>
        <v>-7721.7736135638806</v>
      </c>
      <c r="J7">
        <f t="shared" si="4"/>
        <v>-18629.084806914558</v>
      </c>
      <c r="K7">
        <f t="shared" si="4"/>
        <v>838181.70472745225</v>
      </c>
      <c r="L7">
        <f t="shared" si="5"/>
        <v>123059525224.87628</v>
      </c>
    </row>
    <row r="8" spans="1:13" x14ac:dyDescent="0.2">
      <c r="A8">
        <v>28</v>
      </c>
      <c r="B8">
        <v>86</v>
      </c>
      <c r="C8" s="4">
        <f t="shared" si="6"/>
        <v>415.40534317332958</v>
      </c>
      <c r="D8" s="4">
        <f t="shared" si="6"/>
        <v>-7721.7736135638806</v>
      </c>
      <c r="E8" s="4">
        <f t="shared" si="7"/>
        <v>-215794.25583661531</v>
      </c>
      <c r="F8" s="6">
        <f t="shared" si="0"/>
        <v>-431760.51167323062</v>
      </c>
      <c r="G8" s="6">
        <f t="shared" si="1"/>
        <v>-12089294.326850457</v>
      </c>
      <c r="H8" s="2">
        <f t="shared" si="2"/>
        <v>475.34757066687575</v>
      </c>
      <c r="I8" s="2">
        <f t="shared" si="3"/>
        <v>-7267.2077151335425</v>
      </c>
      <c r="J8">
        <f t="shared" si="4"/>
        <v>-59942.227493546154</v>
      </c>
      <c r="K8">
        <f t="shared" si="4"/>
        <v>-454565.89843033848</v>
      </c>
      <c r="L8">
        <f t="shared" si="5"/>
        <v>46604284860.082481</v>
      </c>
    </row>
    <row r="9" spans="1:13" x14ac:dyDescent="0.2">
      <c r="A9">
        <v>29</v>
      </c>
      <c r="B9">
        <v>88</v>
      </c>
      <c r="C9" s="4">
        <f t="shared" si="6"/>
        <v>475.34757066687575</v>
      </c>
      <c r="D9" s="4">
        <f t="shared" si="6"/>
        <v>-7267.2077151335425</v>
      </c>
      <c r="E9" s="4">
        <f t="shared" si="7"/>
        <v>-210273.67616820586</v>
      </c>
      <c r="F9" s="6">
        <f t="shared" si="0"/>
        <v>-420723.35233641171</v>
      </c>
      <c r="G9" s="6">
        <f t="shared" si="1"/>
        <v>-12200977.21775594</v>
      </c>
      <c r="H9" s="2">
        <f t="shared" si="2"/>
        <v>571.36791064470845</v>
      </c>
      <c r="I9" s="2">
        <f t="shared" si="3"/>
        <v>-5638.0006847706445</v>
      </c>
      <c r="J9">
        <f t="shared" si="4"/>
        <v>-96020.3399778327</v>
      </c>
      <c r="K9">
        <f t="shared" si="4"/>
        <v>-1629207.0303628985</v>
      </c>
      <c r="L9">
        <f t="shared" si="5"/>
        <v>44252034800.297112</v>
      </c>
    </row>
    <row r="10" spans="1:13" x14ac:dyDescent="0.2">
      <c r="A10">
        <v>72</v>
      </c>
      <c r="B10">
        <v>174</v>
      </c>
      <c r="C10" s="4">
        <f t="shared" si="6"/>
        <v>571.36791064470845</v>
      </c>
      <c r="D10" s="4">
        <f t="shared" si="6"/>
        <v>-5638.0006847706445</v>
      </c>
      <c r="E10" s="4">
        <f t="shared" si="7"/>
        <v>-405364.68139284174</v>
      </c>
      <c r="F10" s="6">
        <f t="shared" si="0"/>
        <v>-811077.36278568348</v>
      </c>
      <c r="G10" s="6">
        <f t="shared" si="1"/>
        <v>-58397570.120569214</v>
      </c>
      <c r="H10" s="2">
        <f t="shared" si="2"/>
        <v>738.89395290332618</v>
      </c>
      <c r="I10" s="2">
        <f t="shared" si="3"/>
        <v>1668.0426546128838</v>
      </c>
      <c r="J10">
        <f t="shared" si="4"/>
        <v>-167526.04225861776</v>
      </c>
      <c r="K10">
        <f t="shared" si="4"/>
        <v>-7306043.3393835286</v>
      </c>
      <c r="L10">
        <f t="shared" si="5"/>
        <v>164461622105.84482</v>
      </c>
    </row>
    <row r="11" spans="1:13" x14ac:dyDescent="0.2">
      <c r="A11">
        <v>62</v>
      </c>
      <c r="B11">
        <v>154</v>
      </c>
      <c r="C11" s="4">
        <f t="shared" si="6"/>
        <v>738.89395290332618</v>
      </c>
      <c r="D11" s="4">
        <f t="shared" si="6"/>
        <v>1668.0426546128838</v>
      </c>
      <c r="E11" s="4">
        <f t="shared" si="7"/>
        <v>104157.53853890211</v>
      </c>
      <c r="F11" s="6">
        <f t="shared" si="0"/>
        <v>208007.07707780422</v>
      </c>
      <c r="G11" s="6">
        <f t="shared" si="1"/>
        <v>12896438.778823862</v>
      </c>
      <c r="H11" s="2">
        <f t="shared" si="2"/>
        <v>868.86668322830178</v>
      </c>
      <c r="I11" s="2">
        <f t="shared" si="3"/>
        <v>6953.837782175674</v>
      </c>
      <c r="J11">
        <f t="shared" si="4"/>
        <v>-129972.73032497556</v>
      </c>
      <c r="K11">
        <f t="shared" si="4"/>
        <v>-5285795.1275627902</v>
      </c>
      <c r="L11">
        <f t="shared" si="5"/>
        <v>10816736028.612896</v>
      </c>
    </row>
    <row r="12" spans="1:13" x14ac:dyDescent="0.2">
      <c r="A12">
        <v>84</v>
      </c>
      <c r="B12">
        <v>198</v>
      </c>
      <c r="C12" s="4">
        <f t="shared" si="6"/>
        <v>868.86668322830178</v>
      </c>
      <c r="D12" s="4">
        <f t="shared" si="6"/>
        <v>6953.837782175674</v>
      </c>
      <c r="E12" s="4">
        <f t="shared" si="7"/>
        <v>584991.24038598489</v>
      </c>
      <c r="F12" s="6">
        <f t="shared" si="0"/>
        <v>1169586.4807719698</v>
      </c>
      <c r="G12" s="6">
        <f t="shared" si="1"/>
        <v>98245264.384845465</v>
      </c>
      <c r="H12" s="2">
        <f t="shared" si="2"/>
        <v>868.88349244358278</v>
      </c>
      <c r="I12" s="2">
        <f t="shared" si="3"/>
        <v>1886.5269584976413</v>
      </c>
      <c r="J12">
        <f>J11*$J$1+$K$1*F12</f>
        <v>-16.809215281056822</v>
      </c>
      <c r="K12">
        <f t="shared" si="4"/>
        <v>5067310.8236780325</v>
      </c>
      <c r="L12">
        <f t="shared" si="5"/>
        <v>341983134001.14032</v>
      </c>
    </row>
    <row r="13" spans="1:13" x14ac:dyDescent="0.2">
      <c r="A13">
        <v>15</v>
      </c>
      <c r="B13">
        <v>60</v>
      </c>
      <c r="C13" s="4">
        <f t="shared" si="6"/>
        <v>868.88349244358278</v>
      </c>
      <c r="D13" s="4">
        <f t="shared" si="6"/>
        <v>1886.5269584976413</v>
      </c>
      <c r="E13" s="4">
        <f t="shared" si="7"/>
        <v>29166.787869908203</v>
      </c>
      <c r="F13" s="6">
        <f t="shared" si="0"/>
        <v>58213.575739816406</v>
      </c>
      <c r="G13" s="6">
        <f t="shared" si="1"/>
        <v>873203.63609724608</v>
      </c>
      <c r="H13" s="2">
        <f t="shared" si="2"/>
        <v>863.07726316335413</v>
      </c>
      <c r="I13" s="2">
        <f t="shared" si="3"/>
        <v>-2761.3731464223129</v>
      </c>
      <c r="J13">
        <f t="shared" si="4"/>
        <v>5806.2292802286884</v>
      </c>
      <c r="K13">
        <f t="shared" si="4"/>
        <v>4647900.1049199542</v>
      </c>
      <c r="L13">
        <f t="shared" si="5"/>
        <v>847205100.10383534</v>
      </c>
    </row>
    <row r="14" spans="1:13" x14ac:dyDescent="0.2">
      <c r="A14">
        <v>42</v>
      </c>
      <c r="B14">
        <v>114</v>
      </c>
      <c r="C14" s="4">
        <f t="shared" si="6"/>
        <v>863.07726316335413</v>
      </c>
      <c r="D14" s="4">
        <f t="shared" si="6"/>
        <v>-2761.3731464223129</v>
      </c>
      <c r="E14" s="4">
        <f t="shared" si="7"/>
        <v>-115114.59488657377</v>
      </c>
      <c r="F14" s="6">
        <f t="shared" si="0"/>
        <v>-230457.18977314755</v>
      </c>
      <c r="G14" s="6">
        <f t="shared" si="1"/>
        <v>-9679201.9704721961</v>
      </c>
      <c r="H14" s="2">
        <f t="shared" si="2"/>
        <v>880.89737578846302</v>
      </c>
      <c r="I14" s="2">
        <f t="shared" si="3"/>
        <v>-5976.563043803053</v>
      </c>
      <c r="J14">
        <f t="shared" si="4"/>
        <v>-17820.11262510893</v>
      </c>
      <c r="K14">
        <f t="shared" si="4"/>
        <v>3215189.8973807395</v>
      </c>
      <c r="L14">
        <f t="shared" si="5"/>
        <v>13277629079.534136</v>
      </c>
    </row>
    <row r="15" spans="1:13" x14ac:dyDescent="0.2">
      <c r="A15">
        <v>62</v>
      </c>
      <c r="B15">
        <v>154</v>
      </c>
      <c r="C15" s="4">
        <f t="shared" si="6"/>
        <v>880.89737578846302</v>
      </c>
      <c r="D15" s="4">
        <f>I14</f>
        <v>-5976.563043803053</v>
      </c>
      <c r="E15" s="4">
        <f t="shared" si="7"/>
        <v>-369666.01134000078</v>
      </c>
      <c r="F15" s="6">
        <f t="shared" si="0"/>
        <v>-739640.02268000157</v>
      </c>
      <c r="G15" s="6">
        <f t="shared" si="1"/>
        <v>-45857681.406160094</v>
      </c>
      <c r="H15" s="2">
        <f t="shared" si="2"/>
        <v>970.89947941906121</v>
      </c>
      <c r="I15" s="2">
        <f t="shared" si="3"/>
        <v>-4284.4658108297108</v>
      </c>
      <c r="J15">
        <f t="shared" si="4"/>
        <v>-90002.103630598183</v>
      </c>
      <c r="K15">
        <f t="shared" si="4"/>
        <v>-1692097.2329733423</v>
      </c>
      <c r="L15">
        <f t="shared" si="5"/>
        <v>136766840787.51831</v>
      </c>
    </row>
    <row r="16" spans="1:13" x14ac:dyDescent="0.2">
      <c r="A16">
        <v>47</v>
      </c>
      <c r="B16">
        <v>124</v>
      </c>
      <c r="C16" s="4">
        <f t="shared" si="6"/>
        <v>970.89947941906121</v>
      </c>
      <c r="D16" s="4">
        <f t="shared" si="6"/>
        <v>-4284.4658108297108</v>
      </c>
      <c r="E16" s="4">
        <f t="shared" si="7"/>
        <v>-200398.99362957737</v>
      </c>
      <c r="F16" s="6">
        <f t="shared" si="0"/>
        <v>-401045.98725915473</v>
      </c>
      <c r="G16" s="6">
        <f t="shared" si="1"/>
        <v>-18849161.401180271</v>
      </c>
      <c r="H16" s="2">
        <f t="shared" si="2"/>
        <v>1092.005971412515</v>
      </c>
      <c r="I16" s="2">
        <f t="shared" si="3"/>
        <v>-876.66216103567604</v>
      </c>
      <c r="J16">
        <f t="shared" si="4"/>
        <v>-121106.49199345383</v>
      </c>
      <c r="K16">
        <f t="shared" si="4"/>
        <v>-3407803.6497940347</v>
      </c>
      <c r="L16">
        <f t="shared" si="5"/>
        <v>40209470974.167526</v>
      </c>
    </row>
    <row r="17" spans="1:12" x14ac:dyDescent="0.2">
      <c r="A17">
        <v>35</v>
      </c>
      <c r="B17">
        <v>100</v>
      </c>
      <c r="C17" s="4">
        <f t="shared" si="6"/>
        <v>1092.005971412515</v>
      </c>
      <c r="D17" s="4">
        <f t="shared" si="6"/>
        <v>-876.66216103567604</v>
      </c>
      <c r="E17" s="4">
        <f t="shared" si="7"/>
        <v>-29591.169664836147</v>
      </c>
      <c r="F17" s="6">
        <f t="shared" si="0"/>
        <v>-59382.339329672293</v>
      </c>
      <c r="G17" s="6">
        <f t="shared" si="1"/>
        <v>-2078381.8765385302</v>
      </c>
      <c r="H17" s="2">
        <f t="shared" si="2"/>
        <v>1206.9400481395908</v>
      </c>
      <c r="I17" s="2">
        <f t="shared" si="3"/>
        <v>2398.1993114328084</v>
      </c>
      <c r="J17">
        <f t="shared" si="4"/>
        <v>-114934.07672707568</v>
      </c>
      <c r="K17">
        <f t="shared" si="4"/>
        <v>-3274861.4724684842</v>
      </c>
      <c r="L17">
        <f t="shared" si="5"/>
        <v>881565556.06608617</v>
      </c>
    </row>
    <row r="18" spans="1:12" x14ac:dyDescent="0.2">
      <c r="A18">
        <v>9</v>
      </c>
      <c r="B18">
        <v>48</v>
      </c>
      <c r="C18" s="4">
        <f t="shared" si="6"/>
        <v>1206.9400481395908</v>
      </c>
      <c r="D18" s="4">
        <f t="shared" si="6"/>
        <v>2398.1993114328084</v>
      </c>
      <c r="E18" s="4">
        <f t="shared" si="7"/>
        <v>22790.733851034864</v>
      </c>
      <c r="F18" s="6">
        <f t="shared" si="0"/>
        <v>45485.467702069727</v>
      </c>
      <c r="G18" s="6">
        <f t="shared" si="1"/>
        <v>409369.20931862755</v>
      </c>
      <c r="H18" s="2">
        <f t="shared" si="2"/>
        <v>1305.8321704237519</v>
      </c>
      <c r="I18" s="2">
        <f t="shared" si="3"/>
        <v>5304.6377157225816</v>
      </c>
      <c r="J18">
        <f t="shared" si="4"/>
        <v>-98892.122284161145</v>
      </c>
      <c r="K18">
        <f t="shared" si="4"/>
        <v>-2906438.4042897732</v>
      </c>
      <c r="L18">
        <f t="shared" si="5"/>
        <v>517231943.01900709</v>
      </c>
    </row>
    <row r="19" spans="1:12" x14ac:dyDescent="0.2">
      <c r="A19">
        <v>38</v>
      </c>
      <c r="B19">
        <v>106</v>
      </c>
      <c r="C19" s="4">
        <f t="shared" si="6"/>
        <v>1305.8321704237519</v>
      </c>
      <c r="D19" s="4">
        <f t="shared" si="6"/>
        <v>5304.6377157225816</v>
      </c>
      <c r="E19" s="4">
        <f t="shared" si="7"/>
        <v>202882.06536788185</v>
      </c>
      <c r="F19" s="6">
        <f t="shared" si="0"/>
        <v>405552.1307357637</v>
      </c>
      <c r="G19" s="6">
        <f t="shared" si="1"/>
        <v>15410980.96795902</v>
      </c>
      <c r="H19" s="2">
        <f t="shared" si="2"/>
        <v>1354.2798674059206</v>
      </c>
      <c r="I19" s="2">
        <f t="shared" si="3"/>
        <v>6379.3341827874756</v>
      </c>
      <c r="J19">
        <f t="shared" si="4"/>
        <v>-48447.696982168665</v>
      </c>
      <c r="K19">
        <f t="shared" si="4"/>
        <v>-1074696.4670648943</v>
      </c>
      <c r="L19">
        <f t="shared" si="5"/>
        <v>41118132686.079491</v>
      </c>
    </row>
    <row r="20" spans="1:12" x14ac:dyDescent="0.2">
      <c r="A20">
        <v>44</v>
      </c>
      <c r="B20">
        <v>118</v>
      </c>
      <c r="C20" s="4">
        <f t="shared" si="6"/>
        <v>1354.2798674059206</v>
      </c>
      <c r="D20" s="4">
        <f t="shared" si="6"/>
        <v>6379.3341827874756</v>
      </c>
      <c r="E20" s="4">
        <f t="shared" si="7"/>
        <v>282044.98391005484</v>
      </c>
      <c r="F20" s="6">
        <f t="shared" si="0"/>
        <v>563853.96782010968</v>
      </c>
      <c r="G20" s="6">
        <f t="shared" si="1"/>
        <v>24809574.584084827</v>
      </c>
      <c r="H20" s="2">
        <f t="shared" si="2"/>
        <v>1341.4973979078616</v>
      </c>
      <c r="I20" s="2">
        <f t="shared" si="3"/>
        <v>4865.6035447373979</v>
      </c>
      <c r="J20">
        <f t="shared" si="4"/>
        <v>12782.469498059152</v>
      </c>
      <c r="K20">
        <f t="shared" si="4"/>
        <v>1513730.6380500775</v>
      </c>
      <c r="L20">
        <f t="shared" si="5"/>
        <v>79482824256.620316</v>
      </c>
    </row>
    <row r="21" spans="1:12" x14ac:dyDescent="0.2">
      <c r="A21">
        <v>99</v>
      </c>
      <c r="B21">
        <v>228</v>
      </c>
      <c r="C21" s="4">
        <f t="shared" si="6"/>
        <v>1341.4973979078616</v>
      </c>
      <c r="D21" s="4">
        <f t="shared" si="6"/>
        <v>4865.6035447373979</v>
      </c>
      <c r="E21" s="4">
        <f t="shared" si="7"/>
        <v>483036.24832691025</v>
      </c>
      <c r="F21" s="6">
        <f t="shared" si="0"/>
        <v>965616.4966538205</v>
      </c>
      <c r="G21" s="6">
        <f t="shared" si="1"/>
        <v>95596033.168728232</v>
      </c>
      <c r="H21" s="2">
        <f t="shared" si="2"/>
        <v>1233.4315256942264</v>
      </c>
      <c r="I21" s="2">
        <f t="shared" si="3"/>
        <v>-6056.3573463804914</v>
      </c>
      <c r="J21">
        <f t="shared" ref="J21:K32" si="8">J20*$J$1+$K$1*F21</f>
        <v>108065.87221363527</v>
      </c>
      <c r="K21">
        <f t="shared" si="8"/>
        <v>10921960.891117889</v>
      </c>
      <c r="L21">
        <f t="shared" si="5"/>
        <v>233103804652.49945</v>
      </c>
    </row>
    <row r="22" spans="1:12" x14ac:dyDescent="0.2">
      <c r="A22">
        <v>13</v>
      </c>
      <c r="B22">
        <v>56</v>
      </c>
      <c r="C22" s="4">
        <f t="shared" si="6"/>
        <v>1233.4315256942264</v>
      </c>
      <c r="D22" s="4">
        <f t="shared" si="6"/>
        <v>-6056.3573463804914</v>
      </c>
      <c r="E22" s="4">
        <f t="shared" si="7"/>
        <v>-77499.213977252162</v>
      </c>
      <c r="F22" s="6">
        <f t="shared" si="0"/>
        <v>-155110.42795450432</v>
      </c>
      <c r="G22" s="6">
        <f t="shared" si="1"/>
        <v>-2016435.5634085562</v>
      </c>
      <c r="H22" s="2">
        <f t="shared" si="2"/>
        <v>1151.683283497405</v>
      </c>
      <c r="I22" s="2">
        <f t="shared" si="3"/>
        <v>-15684.478592045736</v>
      </c>
      <c r="J22">
        <f t="shared" si="8"/>
        <v>81748.242196821317</v>
      </c>
      <c r="K22">
        <f t="shared" si="8"/>
        <v>9628121.2456652448</v>
      </c>
      <c r="L22">
        <f t="shared" si="5"/>
        <v>6014811215.0573692</v>
      </c>
    </row>
    <row r="23" spans="1:12" x14ac:dyDescent="0.2">
      <c r="A23">
        <v>21</v>
      </c>
      <c r="B23">
        <v>72</v>
      </c>
      <c r="C23" s="4">
        <f t="shared" si="6"/>
        <v>1151.683283497405</v>
      </c>
      <c r="D23" s="4">
        <f t="shared" si="6"/>
        <v>-15684.478592045736</v>
      </c>
      <c r="E23" s="4">
        <f t="shared" si="7"/>
        <v>-328222.36714946304</v>
      </c>
      <c r="F23" s="6">
        <f t="shared" si="0"/>
        <v>-656588.73429892608</v>
      </c>
      <c r="G23" s="6">
        <f t="shared" si="1"/>
        <v>-13788363.420277448</v>
      </c>
      <c r="H23" s="2">
        <f t="shared" si="2"/>
        <v>1143.7687389501584</v>
      </c>
      <c r="I23" s="2">
        <f t="shared" si="3"/>
        <v>-22970.951371116713</v>
      </c>
      <c r="J23">
        <f t="shared" si="8"/>
        <v>7914.5445472465944</v>
      </c>
      <c r="K23">
        <f t="shared" si="8"/>
        <v>7286472.7790709771</v>
      </c>
      <c r="L23">
        <f t="shared" si="5"/>
        <v>107777191502.06644</v>
      </c>
    </row>
    <row r="24" spans="1:12" x14ac:dyDescent="0.2">
      <c r="A24">
        <v>28</v>
      </c>
      <c r="B24">
        <v>86</v>
      </c>
      <c r="C24" s="4">
        <f t="shared" si="6"/>
        <v>1143.7687389501584</v>
      </c>
      <c r="D24" s="4">
        <f t="shared" si="6"/>
        <v>-22970.951371116713</v>
      </c>
      <c r="E24" s="4">
        <f t="shared" si="7"/>
        <v>-642042.86965231784</v>
      </c>
      <c r="F24" s="6">
        <f t="shared" si="0"/>
        <v>-1284257.7393046357</v>
      </c>
      <c r="G24" s="6">
        <f t="shared" si="1"/>
        <v>-35959216.700529799</v>
      </c>
      <c r="H24" s="2">
        <f t="shared" si="2"/>
        <v>1265.0714227881001</v>
      </c>
      <c r="I24" s="2">
        <f t="shared" si="3"/>
        <v>-25932.855202227613</v>
      </c>
      <c r="J24">
        <f t="shared" si="8"/>
        <v>-121302.6838379416</v>
      </c>
      <c r="K24">
        <f t="shared" si="8"/>
        <v>2961903.8311109003</v>
      </c>
      <c r="L24">
        <f t="shared" si="5"/>
        <v>412329485240.96338</v>
      </c>
    </row>
    <row r="25" spans="1:12" x14ac:dyDescent="0.2">
      <c r="A25">
        <v>20</v>
      </c>
      <c r="B25">
        <v>70</v>
      </c>
      <c r="C25" s="4">
        <f t="shared" si="6"/>
        <v>1265.0714227881001</v>
      </c>
      <c r="D25" s="4">
        <f t="shared" si="6"/>
        <v>-25932.855202227613</v>
      </c>
      <c r="E25" s="4">
        <f t="shared" si="7"/>
        <v>-517392.03262176417</v>
      </c>
      <c r="F25" s="6">
        <f t="shared" si="0"/>
        <v>-1034924.0652435283</v>
      </c>
      <c r="G25" s="6">
        <f t="shared" si="1"/>
        <v>-20698481.304870568</v>
      </c>
      <c r="H25" s="2">
        <f t="shared" si="2"/>
        <v>1477.7362447666003</v>
      </c>
      <c r="I25" s="2">
        <f t="shared" si="3"/>
        <v>-26528.720519740367</v>
      </c>
      <c r="J25">
        <f t="shared" si="8"/>
        <v>-212664.82197850026</v>
      </c>
      <c r="K25">
        <f t="shared" si="8"/>
        <v>595865.31751275389</v>
      </c>
      <c r="L25">
        <f t="shared" si="5"/>
        <v>267766955205.04773</v>
      </c>
    </row>
    <row r="26" spans="1:12" x14ac:dyDescent="0.2">
      <c r="A26">
        <v>8</v>
      </c>
      <c r="B26">
        <v>46</v>
      </c>
      <c r="C26" s="4">
        <f t="shared" si="6"/>
        <v>1477.7362447666003</v>
      </c>
      <c r="D26" s="4">
        <f t="shared" si="6"/>
        <v>-26528.720519740367</v>
      </c>
      <c r="E26" s="4">
        <f t="shared" si="7"/>
        <v>-210752.02791315634</v>
      </c>
      <c r="F26" s="6">
        <f t="shared" si="0"/>
        <v>-421596.05582631269</v>
      </c>
      <c r="G26" s="6">
        <f t="shared" si="1"/>
        <v>-3372768.4466105015</v>
      </c>
      <c r="H26" s="2">
        <f t="shared" si="2"/>
        <v>1711.2941901298818</v>
      </c>
      <c r="I26" s="2">
        <f t="shared" si="3"/>
        <v>-26727.722460840796</v>
      </c>
      <c r="J26">
        <f t="shared" si="8"/>
        <v>-233557.9453632815</v>
      </c>
      <c r="K26">
        <f t="shared" si="8"/>
        <v>199001.9411004284</v>
      </c>
      <c r="L26">
        <f t="shared" si="5"/>
        <v>44435808572.075844</v>
      </c>
    </row>
    <row r="27" spans="1:12" x14ac:dyDescent="0.2">
      <c r="A27">
        <v>64</v>
      </c>
      <c r="B27">
        <v>158</v>
      </c>
      <c r="C27" s="4">
        <f t="shared" si="6"/>
        <v>1711.2941901298818</v>
      </c>
      <c r="D27" s="4">
        <f t="shared" si="6"/>
        <v>-26727.722460840796</v>
      </c>
      <c r="E27" s="4">
        <f t="shared" si="7"/>
        <v>-1708862.943303681</v>
      </c>
      <c r="F27" s="6">
        <f t="shared" si="0"/>
        <v>-3418041.886607362</v>
      </c>
      <c r="G27" s="6">
        <f t="shared" si="1"/>
        <v>-218754680.74287117</v>
      </c>
      <c r="H27" s="2">
        <f t="shared" si="2"/>
        <v>2263.3005296175716</v>
      </c>
      <c r="I27" s="2">
        <f t="shared" si="3"/>
        <v>-5031.3561335440681</v>
      </c>
      <c r="J27">
        <f t="shared" si="8"/>
        <v>-552006.33948768955</v>
      </c>
      <c r="K27">
        <f t="shared" si="8"/>
        <v>-21696366.327296726</v>
      </c>
      <c r="L27">
        <f t="shared" si="5"/>
        <v>2920752584650.6035</v>
      </c>
    </row>
    <row r="28" spans="1:12" x14ac:dyDescent="0.2">
      <c r="A28">
        <v>99</v>
      </c>
      <c r="B28">
        <v>228</v>
      </c>
      <c r="C28" s="4">
        <f t="shared" si="6"/>
        <v>2263.3005296175716</v>
      </c>
      <c r="D28" s="4">
        <f t="shared" si="6"/>
        <v>-5031.3561335440681</v>
      </c>
      <c r="E28" s="4">
        <f t="shared" si="7"/>
        <v>-495840.95669124514</v>
      </c>
      <c r="F28" s="6">
        <f t="shared" si="0"/>
        <v>-992137.91338249028</v>
      </c>
      <c r="G28" s="6">
        <f t="shared" si="1"/>
        <v>-98221653.424866542</v>
      </c>
      <c r="H28" s="2">
        <f t="shared" si="2"/>
        <v>2859.3200264947409</v>
      </c>
      <c r="I28" s="2">
        <f t="shared" si="3"/>
        <v>24317.538903509638</v>
      </c>
      <c r="J28">
        <f t="shared" si="8"/>
        <v>-596019.49687716959</v>
      </c>
      <c r="K28">
        <f t="shared" si="8"/>
        <v>-29348895.037053704</v>
      </c>
      <c r="L28">
        <f t="shared" si="5"/>
        <v>246084409792.74045</v>
      </c>
    </row>
    <row r="29" spans="1:12" x14ac:dyDescent="0.2">
      <c r="A29">
        <v>70</v>
      </c>
      <c r="B29">
        <v>170</v>
      </c>
      <c r="C29" s="4">
        <f t="shared" si="6"/>
        <v>2859.3200264947409</v>
      </c>
      <c r="D29" s="4">
        <f t="shared" si="6"/>
        <v>24317.538903509638</v>
      </c>
      <c r="E29" s="4">
        <f t="shared" si="7"/>
        <v>1705087.0432721695</v>
      </c>
      <c r="F29" s="6">
        <f t="shared" si="0"/>
        <v>3409834.0865443391</v>
      </c>
      <c r="G29" s="6">
        <f t="shared" si="1"/>
        <v>238688386.05810374</v>
      </c>
      <c r="H29" s="2">
        <f t="shared" si="2"/>
        <v>3054.7541650297599</v>
      </c>
      <c r="I29" s="2">
        <f t="shared" si="3"/>
        <v>26862.705831047599</v>
      </c>
      <c r="J29">
        <f t="shared" si="8"/>
        <v>-195434.13853501884</v>
      </c>
      <c r="K29">
        <f t="shared" si="8"/>
        <v>-2545166.9275379628</v>
      </c>
      <c r="L29">
        <f t="shared" si="5"/>
        <v>2906742124439.917</v>
      </c>
    </row>
    <row r="30" spans="1:12" x14ac:dyDescent="0.2">
      <c r="A30">
        <v>27</v>
      </c>
      <c r="B30">
        <v>84</v>
      </c>
      <c r="C30" s="4">
        <f t="shared" si="6"/>
        <v>3054.7541650297599</v>
      </c>
      <c r="D30" s="4">
        <f t="shared" si="6"/>
        <v>26862.705831047599</v>
      </c>
      <c r="E30" s="4">
        <f t="shared" si="7"/>
        <v>728347.81160331494</v>
      </c>
      <c r="F30" s="6">
        <f t="shared" si="0"/>
        <v>1456527.6232066299</v>
      </c>
      <c r="G30" s="6">
        <f t="shared" si="1"/>
        <v>39326245.826579005</v>
      </c>
      <c r="H30" s="2">
        <f t="shared" si="2"/>
        <v>3084.9921273906139</v>
      </c>
      <c r="I30" s="2">
        <f t="shared" si="3"/>
        <v>25220.731483173866</v>
      </c>
      <c r="J30">
        <f t="shared" si="8"/>
        <v>-30237.962360853999</v>
      </c>
      <c r="K30">
        <f t="shared" si="8"/>
        <v>1641974.3478737329</v>
      </c>
      <c r="L30">
        <f t="shared" si="5"/>
        <v>530368179290.98859</v>
      </c>
    </row>
    <row r="31" spans="1:12" x14ac:dyDescent="0.2">
      <c r="A31">
        <v>17</v>
      </c>
      <c r="B31">
        <v>64</v>
      </c>
      <c r="C31" s="4">
        <f t="shared" si="6"/>
        <v>3084.9921273906139</v>
      </c>
      <c r="D31" s="4">
        <f t="shared" si="6"/>
        <v>25220.731483173866</v>
      </c>
      <c r="E31" s="4">
        <f t="shared" si="7"/>
        <v>431837.42734134634</v>
      </c>
      <c r="F31" s="6">
        <f t="shared" si="0"/>
        <v>863546.85468269268</v>
      </c>
      <c r="G31" s="6">
        <f t="shared" si="1"/>
        <v>14680296.529605776</v>
      </c>
      <c r="H31" s="2">
        <f t="shared" si="2"/>
        <v>3025.8516080471131</v>
      </c>
      <c r="I31" s="2">
        <f t="shared" si="3"/>
        <v>22274.924917126929</v>
      </c>
      <c r="J31">
        <f t="shared" si="8"/>
        <v>59140.519343500651</v>
      </c>
      <c r="K31">
        <f t="shared" si="8"/>
        <v>2945806.5660469369</v>
      </c>
      <c r="L31">
        <f t="shared" si="5"/>
        <v>186428292558.0929</v>
      </c>
    </row>
    <row r="32" spans="1:12" x14ac:dyDescent="0.2">
      <c r="A32">
        <v>8</v>
      </c>
      <c r="B32">
        <v>46</v>
      </c>
      <c r="C32" s="4">
        <f t="shared" si="6"/>
        <v>3025.8516080471131</v>
      </c>
      <c r="D32" s="4">
        <f t="shared" si="6"/>
        <v>22274.924917126929</v>
      </c>
      <c r="E32" s="4">
        <f t="shared" si="7"/>
        <v>181225.25094506255</v>
      </c>
      <c r="F32" s="6">
        <f t="shared" si="0"/>
        <v>362358.5018901251</v>
      </c>
      <c r="G32" s="6">
        <f t="shared" si="1"/>
        <v>2898868.0151210008</v>
      </c>
      <c r="H32" s="2">
        <f t="shared" si="2"/>
        <v>2936.3892904489499</v>
      </c>
      <c r="I32" s="2">
        <f t="shared" si="3"/>
        <v>19333.812206172588</v>
      </c>
      <c r="J32">
        <f t="shared" si="8"/>
        <v>89462.317598163092</v>
      </c>
      <c r="K32">
        <f t="shared" si="8"/>
        <v>2941112.710954343</v>
      </c>
      <c r="L32">
        <f t="shared" si="5"/>
        <v>32825920973.01395</v>
      </c>
    </row>
    <row r="33" spans="1:13" x14ac:dyDescent="0.2">
      <c r="A33" s="6"/>
      <c r="B33" s="6"/>
      <c r="H33" s="2"/>
      <c r="J33">
        <v>15936.486065887013</v>
      </c>
      <c r="K33">
        <v>524530.09276555933</v>
      </c>
      <c r="L33">
        <f>SQRT(SUM(L4:L32))</f>
        <v>3008836.2027093056</v>
      </c>
      <c r="M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0" width="8.33203125" customWidth="1"/>
    <col min="11" max="11" width="11.6640625" bestFit="1" customWidth="1"/>
  </cols>
  <sheetData>
    <row r="1" spans="1:11" x14ac:dyDescent="0.2">
      <c r="B1" t="s">
        <v>21</v>
      </c>
      <c r="C1" s="4">
        <v>13.981105547919427</v>
      </c>
      <c r="D1" s="4" t="s">
        <v>14</v>
      </c>
      <c r="J1">
        <v>0.9</v>
      </c>
      <c r="K1">
        <f>1-J1</f>
        <v>9.9999999999999978E-2</v>
      </c>
    </row>
    <row r="2" spans="1:11" x14ac:dyDescent="0.2">
      <c r="B2" t="s">
        <v>22</v>
      </c>
      <c r="C2" s="4">
        <v>2.518903924438781</v>
      </c>
      <c r="D2">
        <v>1</v>
      </c>
      <c r="F2" s="8"/>
      <c r="G2" s="8"/>
    </row>
    <row r="3" spans="1:11" s="1" customFormat="1" x14ac:dyDescent="0.2">
      <c r="A3" s="1" t="s">
        <v>15</v>
      </c>
      <c r="B3" s="1" t="s">
        <v>16</v>
      </c>
      <c r="C3" s="5" t="s">
        <v>21</v>
      </c>
      <c r="D3" s="5" t="s">
        <v>22</v>
      </c>
      <c r="E3" s="5" t="s">
        <v>18</v>
      </c>
      <c r="F3" s="7" t="s">
        <v>6</v>
      </c>
      <c r="G3" s="7" t="s">
        <v>9</v>
      </c>
      <c r="H3" s="1" t="s">
        <v>13</v>
      </c>
      <c r="I3" s="1" t="s">
        <v>12</v>
      </c>
      <c r="J3">
        <f>J33</f>
        <v>5189.4663370847638</v>
      </c>
      <c r="K3">
        <f>K33</f>
        <v>22855431.210169159</v>
      </c>
    </row>
    <row r="4" spans="1:11" x14ac:dyDescent="0.2">
      <c r="A4">
        <v>14</v>
      </c>
      <c r="B4">
        <v>58</v>
      </c>
      <c r="C4" s="4">
        <f>C1</f>
        <v>13.981105547919427</v>
      </c>
      <c r="D4" s="4">
        <f>C2</f>
        <v>2.518903924438781</v>
      </c>
      <c r="E4" s="4">
        <f>C4+D4*A4</f>
        <v>49.245760490062359</v>
      </c>
      <c r="F4" s="6">
        <f t="shared" ref="F4:F32" si="0">2*(D4*A4+C4-B4)</f>
        <v>-17.508479019875281</v>
      </c>
      <c r="G4" s="6">
        <f t="shared" ref="G4:G32" si="1">F4*A4</f>
        <v>-245.11870627825394</v>
      </c>
      <c r="H4" s="2">
        <f t="shared" ref="H4:H32" si="2">C4-F4*$D$2/SQRT(J3)</f>
        <v>14.224150760289326</v>
      </c>
      <c r="I4" s="2">
        <f t="shared" ref="I4:I32" si="3">D4-G4*$D$2/SQRT(K3)</f>
        <v>2.5701761000464423</v>
      </c>
      <c r="J4">
        <f t="shared" ref="J4:J32" si="4">J3*$J$1+$K$1*F4^2</f>
        <v>4701.1743871352292</v>
      </c>
      <c r="K4">
        <f t="shared" ref="K4:K32" si="5">K3*$J$1+$K$1*G4^2</f>
        <v>20575896.407168996</v>
      </c>
    </row>
    <row r="5" spans="1:11" x14ac:dyDescent="0.2">
      <c r="A5">
        <v>86</v>
      </c>
      <c r="B5">
        <v>202</v>
      </c>
      <c r="C5" s="4">
        <f>H4</f>
        <v>14.224150760289326</v>
      </c>
      <c r="D5" s="4">
        <f>I4</f>
        <v>2.5701761000464423</v>
      </c>
      <c r="E5" s="4">
        <f>C5+D5*A5</f>
        <v>235.25929536428336</v>
      </c>
      <c r="F5" s="6">
        <f t="shared" si="0"/>
        <v>66.518590728566721</v>
      </c>
      <c r="G5" s="6">
        <f t="shared" si="1"/>
        <v>5720.5988026567384</v>
      </c>
      <c r="H5" s="2">
        <f t="shared" si="2"/>
        <v>13.253998591380196</v>
      </c>
      <c r="I5" s="2">
        <f t="shared" si="3"/>
        <v>1.3090395616509061</v>
      </c>
      <c r="J5">
        <f t="shared" si="4"/>
        <v>4673.5292396731629</v>
      </c>
      <c r="K5">
        <f t="shared" si="5"/>
        <v>21790831.832547866</v>
      </c>
    </row>
    <row r="6" spans="1:11" x14ac:dyDescent="0.2">
      <c r="A6">
        <v>28</v>
      </c>
      <c r="B6">
        <v>86</v>
      </c>
      <c r="C6" s="4">
        <f>H5</f>
        <v>13.253998591380196</v>
      </c>
      <c r="D6" s="4">
        <f>I5</f>
        <v>1.3090395616509061</v>
      </c>
      <c r="E6" s="4">
        <f>C6+D6*A6</f>
        <v>49.907106317605567</v>
      </c>
      <c r="F6" s="6">
        <f t="shared" si="0"/>
        <v>-72.185787364788865</v>
      </c>
      <c r="G6" s="6">
        <f t="shared" si="1"/>
        <v>-2021.2020462140881</v>
      </c>
      <c r="H6" s="2">
        <f t="shared" si="2"/>
        <v>14.309914214850396</v>
      </c>
      <c r="I6" s="2">
        <f t="shared" si="3"/>
        <v>1.7420245351631198</v>
      </c>
      <c r="J6">
        <f t="shared" si="4"/>
        <v>4727.2551054532978</v>
      </c>
      <c r="K6">
        <f t="shared" si="5"/>
        <v>20020274.420455083</v>
      </c>
    </row>
    <row r="7" spans="1:11" x14ac:dyDescent="0.2">
      <c r="A7">
        <v>51</v>
      </c>
      <c r="B7">
        <v>132</v>
      </c>
      <c r="C7" s="4">
        <f t="shared" ref="C7:D32" si="6">H6</f>
        <v>14.309914214850396</v>
      </c>
      <c r="D7" s="4">
        <f t="shared" si="6"/>
        <v>1.7420245351631198</v>
      </c>
      <c r="E7" s="4">
        <f t="shared" ref="E7:E32" si="7">C7+D7*A7</f>
        <v>103.15316550816951</v>
      </c>
      <c r="F7" s="6">
        <f t="shared" si="0"/>
        <v>-57.693668983660984</v>
      </c>
      <c r="G7" s="6">
        <f t="shared" si="1"/>
        <v>-2942.3771181667103</v>
      </c>
      <c r="H7" s="2">
        <f t="shared" si="2"/>
        <v>15.149033376824345</v>
      </c>
      <c r="I7" s="2">
        <f t="shared" si="3"/>
        <v>2.3996268321213892</v>
      </c>
      <c r="J7">
        <f t="shared" si="4"/>
        <v>4587.3855389875926</v>
      </c>
      <c r="K7">
        <f t="shared" si="5"/>
        <v>18884005.28896068</v>
      </c>
    </row>
    <row r="8" spans="1:11" x14ac:dyDescent="0.2">
      <c r="A8">
        <v>28</v>
      </c>
      <c r="B8">
        <v>86</v>
      </c>
      <c r="C8" s="4">
        <f t="shared" si="6"/>
        <v>15.149033376824345</v>
      </c>
      <c r="D8" s="4">
        <f t="shared" si="6"/>
        <v>2.3996268321213892</v>
      </c>
      <c r="E8" s="4">
        <f t="shared" si="7"/>
        <v>82.338584676223249</v>
      </c>
      <c r="F8" s="6">
        <f t="shared" si="0"/>
        <v>-7.3228306475535021</v>
      </c>
      <c r="G8" s="6">
        <f t="shared" si="1"/>
        <v>-205.03925813149806</v>
      </c>
      <c r="H8" s="2">
        <f t="shared" si="2"/>
        <v>15.257150970161788</v>
      </c>
      <c r="I8" s="2">
        <f t="shared" si="3"/>
        <v>2.4468103117050966</v>
      </c>
      <c r="J8">
        <f t="shared" si="4"/>
        <v>4134.0093699581084</v>
      </c>
      <c r="K8">
        <f t="shared" si="5"/>
        <v>16999808.869802125</v>
      </c>
    </row>
    <row r="9" spans="1:11" x14ac:dyDescent="0.2">
      <c r="A9">
        <v>29</v>
      </c>
      <c r="B9">
        <v>88</v>
      </c>
      <c r="C9" s="4">
        <f t="shared" si="6"/>
        <v>15.257150970161788</v>
      </c>
      <c r="D9" s="4">
        <f t="shared" si="6"/>
        <v>2.4468103117050966</v>
      </c>
      <c r="E9" s="4">
        <f t="shared" si="7"/>
        <v>86.214650009609585</v>
      </c>
      <c r="F9" s="6">
        <f t="shared" si="0"/>
        <v>-3.5706999807808302</v>
      </c>
      <c r="G9" s="6">
        <f t="shared" si="1"/>
        <v>-103.55029944264408</v>
      </c>
      <c r="H9" s="2">
        <f t="shared" si="2"/>
        <v>15.312686079709303</v>
      </c>
      <c r="I9" s="2">
        <f t="shared" si="3"/>
        <v>2.4719250894856453</v>
      </c>
      <c r="J9">
        <f t="shared" si="4"/>
        <v>3721.8834227975726</v>
      </c>
      <c r="K9">
        <f t="shared" si="5"/>
        <v>15300900.24927338</v>
      </c>
    </row>
    <row r="10" spans="1:11" x14ac:dyDescent="0.2">
      <c r="A10">
        <v>72</v>
      </c>
      <c r="B10">
        <v>174</v>
      </c>
      <c r="C10" s="4">
        <f t="shared" si="6"/>
        <v>15.312686079709303</v>
      </c>
      <c r="D10" s="4">
        <f t="shared" si="6"/>
        <v>2.4719250894856453</v>
      </c>
      <c r="E10" s="4">
        <f t="shared" si="7"/>
        <v>193.29129252267575</v>
      </c>
      <c r="F10" s="6">
        <f t="shared" si="0"/>
        <v>38.582585045351493</v>
      </c>
      <c r="G10" s="6">
        <f t="shared" si="1"/>
        <v>2777.9461232653075</v>
      </c>
      <c r="H10" s="2">
        <f t="shared" si="2"/>
        <v>14.680259754950253</v>
      </c>
      <c r="I10" s="2">
        <f t="shared" si="3"/>
        <v>1.761750176644713</v>
      </c>
      <c r="J10">
        <f t="shared" si="4"/>
        <v>3498.5566673959934</v>
      </c>
      <c r="K10">
        <f t="shared" si="5"/>
        <v>14542508.690722516</v>
      </c>
    </row>
    <row r="11" spans="1:11" x14ac:dyDescent="0.2">
      <c r="A11">
        <v>62</v>
      </c>
      <c r="B11">
        <v>154</v>
      </c>
      <c r="C11" s="4">
        <f t="shared" si="6"/>
        <v>14.680259754950253</v>
      </c>
      <c r="D11" s="4">
        <f t="shared" si="6"/>
        <v>1.761750176644713</v>
      </c>
      <c r="E11" s="4">
        <f t="shared" si="7"/>
        <v>123.90877070692247</v>
      </c>
      <c r="F11" s="6">
        <f t="shared" si="0"/>
        <v>-60.182458586155064</v>
      </c>
      <c r="G11" s="6">
        <f t="shared" si="1"/>
        <v>-3731.3124323416141</v>
      </c>
      <c r="H11" s="2">
        <f t="shared" si="2"/>
        <v>15.697738789646406</v>
      </c>
      <c r="I11" s="2">
        <f t="shared" si="3"/>
        <v>2.7402076375217161</v>
      </c>
      <c r="J11">
        <f t="shared" si="4"/>
        <v>3510.8938328038212</v>
      </c>
      <c r="K11">
        <f t="shared" si="5"/>
        <v>14480527.068424974</v>
      </c>
    </row>
    <row r="12" spans="1:11" x14ac:dyDescent="0.2">
      <c r="A12">
        <v>84</v>
      </c>
      <c r="B12">
        <v>198</v>
      </c>
      <c r="C12" s="4">
        <f t="shared" si="6"/>
        <v>15.697738789646406</v>
      </c>
      <c r="D12" s="4">
        <f t="shared" si="6"/>
        <v>2.7402076375217161</v>
      </c>
      <c r="E12" s="4">
        <f t="shared" si="7"/>
        <v>245.87518034147055</v>
      </c>
      <c r="F12" s="6">
        <f t="shared" si="0"/>
        <v>95.750360682941107</v>
      </c>
      <c r="G12" s="6">
        <f t="shared" si="1"/>
        <v>8043.0302973670532</v>
      </c>
      <c r="H12" s="2">
        <f t="shared" si="2"/>
        <v>14.081775203780088</v>
      </c>
      <c r="I12" s="2">
        <f t="shared" si="3"/>
        <v>0.62658466884554231</v>
      </c>
      <c r="J12">
        <f t="shared" si="4"/>
        <v>4076.61760661477</v>
      </c>
      <c r="K12">
        <f t="shared" si="5"/>
        <v>19501507.998018909</v>
      </c>
    </row>
    <row r="13" spans="1:11" x14ac:dyDescent="0.2">
      <c r="A13">
        <v>15</v>
      </c>
      <c r="B13">
        <v>60</v>
      </c>
      <c r="C13" s="4">
        <f t="shared" si="6"/>
        <v>14.081775203780088</v>
      </c>
      <c r="D13" s="4">
        <f t="shared" si="6"/>
        <v>0.62658466884554231</v>
      </c>
      <c r="E13" s="4">
        <f t="shared" si="7"/>
        <v>23.480545236463222</v>
      </c>
      <c r="F13" s="6">
        <f t="shared" si="0"/>
        <v>-73.038909527073557</v>
      </c>
      <c r="G13" s="6">
        <f t="shared" si="1"/>
        <v>-1095.5836429061033</v>
      </c>
      <c r="H13" s="2">
        <f t="shared" si="2"/>
        <v>15.225717960161582</v>
      </c>
      <c r="I13" s="2">
        <f t="shared" si="3"/>
        <v>0.87467591575146286</v>
      </c>
      <c r="J13">
        <f t="shared" si="4"/>
        <v>4202.4240764436963</v>
      </c>
      <c r="K13">
        <f t="shared" si="5"/>
        <v>17671387.55007736</v>
      </c>
    </row>
    <row r="14" spans="1:11" x14ac:dyDescent="0.2">
      <c r="A14">
        <v>42</v>
      </c>
      <c r="B14">
        <v>114</v>
      </c>
      <c r="C14" s="4">
        <f t="shared" si="6"/>
        <v>15.225717960161582</v>
      </c>
      <c r="D14" s="4">
        <f t="shared" si="6"/>
        <v>0.87467591575146286</v>
      </c>
      <c r="E14" s="4">
        <f t="shared" si="7"/>
        <v>51.962106421723021</v>
      </c>
      <c r="F14" s="6">
        <f t="shared" si="0"/>
        <v>-124.07578715655396</v>
      </c>
      <c r="G14" s="6">
        <f t="shared" si="1"/>
        <v>-5211.1830605752666</v>
      </c>
      <c r="H14" s="2">
        <f t="shared" si="2"/>
        <v>17.139696663592666</v>
      </c>
      <c r="I14" s="2">
        <f t="shared" si="3"/>
        <v>2.1143313934577885</v>
      </c>
      <c r="J14">
        <f t="shared" si="4"/>
        <v>5321.661764651175</v>
      </c>
      <c r="K14">
        <f t="shared" si="5"/>
        <v>18619891.684152283</v>
      </c>
    </row>
    <row r="15" spans="1:11" x14ac:dyDescent="0.2">
      <c r="A15">
        <v>62</v>
      </c>
      <c r="B15">
        <v>154</v>
      </c>
      <c r="C15" s="4">
        <f t="shared" si="6"/>
        <v>17.139696663592666</v>
      </c>
      <c r="D15" s="4">
        <f>I14</f>
        <v>2.1143313934577885</v>
      </c>
      <c r="E15" s="4">
        <f t="shared" si="7"/>
        <v>148.22824305797556</v>
      </c>
      <c r="F15" s="6">
        <f t="shared" si="0"/>
        <v>-11.543513884048878</v>
      </c>
      <c r="G15" s="6">
        <f t="shared" si="1"/>
        <v>-715.69786081103041</v>
      </c>
      <c r="H15" s="2">
        <f t="shared" si="2"/>
        <v>17.297935979077586</v>
      </c>
      <c r="I15" s="2">
        <f t="shared" si="3"/>
        <v>2.280191195992189</v>
      </c>
      <c r="J15">
        <f t="shared" si="4"/>
        <v>4802.8208594651805</v>
      </c>
      <c r="K15">
        <f t="shared" si="5"/>
        <v>16809124.858534005</v>
      </c>
    </row>
    <row r="16" spans="1:11" x14ac:dyDescent="0.2">
      <c r="A16">
        <v>47</v>
      </c>
      <c r="B16">
        <v>124</v>
      </c>
      <c r="C16" s="4">
        <f t="shared" si="6"/>
        <v>17.297935979077586</v>
      </c>
      <c r="D16" s="4">
        <f t="shared" si="6"/>
        <v>2.280191195992189</v>
      </c>
      <c r="E16" s="4">
        <f t="shared" si="7"/>
        <v>124.46692219071048</v>
      </c>
      <c r="F16" s="6">
        <f t="shared" si="0"/>
        <v>0.93384438142095405</v>
      </c>
      <c r="G16" s="6">
        <f t="shared" si="1"/>
        <v>43.89068592678484</v>
      </c>
      <c r="H16" s="2">
        <f t="shared" si="2"/>
        <v>17.284461055336394</v>
      </c>
      <c r="I16" s="2">
        <f t="shared" si="3"/>
        <v>2.2694858719768849</v>
      </c>
      <c r="J16">
        <f t="shared" si="4"/>
        <v>4322.6259800515336</v>
      </c>
      <c r="K16">
        <f t="shared" si="5"/>
        <v>15128405.011911716</v>
      </c>
    </row>
    <row r="17" spans="1:11" x14ac:dyDescent="0.2">
      <c r="A17">
        <v>35</v>
      </c>
      <c r="B17">
        <v>100</v>
      </c>
      <c r="C17" s="4">
        <f t="shared" si="6"/>
        <v>17.284461055336394</v>
      </c>
      <c r="D17" s="4">
        <f t="shared" si="6"/>
        <v>2.2694858719768849</v>
      </c>
      <c r="E17" s="4">
        <f t="shared" si="7"/>
        <v>96.71646657452736</v>
      </c>
      <c r="F17" s="6">
        <f t="shared" si="0"/>
        <v>-6.567066850945281</v>
      </c>
      <c r="G17" s="6">
        <f t="shared" si="1"/>
        <v>-229.84733978308483</v>
      </c>
      <c r="H17" s="2">
        <f t="shared" si="2"/>
        <v>17.384345442102418</v>
      </c>
      <c r="I17" s="2">
        <f t="shared" si="3"/>
        <v>2.3285798069967893</v>
      </c>
      <c r="J17">
        <f t="shared" si="4"/>
        <v>3894.6760187488585</v>
      </c>
      <c r="K17">
        <f t="shared" si="5"/>
        <v>13620847.490681082</v>
      </c>
    </row>
    <row r="18" spans="1:11" x14ac:dyDescent="0.2">
      <c r="A18">
        <v>9</v>
      </c>
      <c r="B18">
        <v>48</v>
      </c>
      <c r="C18" s="4">
        <f t="shared" si="6"/>
        <v>17.384345442102418</v>
      </c>
      <c r="D18" s="4">
        <f t="shared" si="6"/>
        <v>2.3285798069967893</v>
      </c>
      <c r="E18" s="4">
        <f t="shared" si="7"/>
        <v>38.341563705073526</v>
      </c>
      <c r="F18" s="6">
        <f t="shared" si="0"/>
        <v>-19.316872589852949</v>
      </c>
      <c r="G18" s="6">
        <f t="shared" si="1"/>
        <v>-173.85185330867654</v>
      </c>
      <c r="H18" s="2">
        <f t="shared" si="2"/>
        <v>17.693874301309062</v>
      </c>
      <c r="I18" s="2">
        <f t="shared" si="3"/>
        <v>2.3756859189187383</v>
      </c>
      <c r="J18">
        <f t="shared" si="4"/>
        <v>3542.5225735392337</v>
      </c>
      <c r="K18">
        <f t="shared" si="5"/>
        <v>12261785.188302862</v>
      </c>
    </row>
    <row r="19" spans="1:11" x14ac:dyDescent="0.2">
      <c r="A19">
        <v>38</v>
      </c>
      <c r="B19">
        <v>106</v>
      </c>
      <c r="C19" s="4">
        <f t="shared" si="6"/>
        <v>17.693874301309062</v>
      </c>
      <c r="D19" s="4">
        <f t="shared" si="6"/>
        <v>2.3756859189187383</v>
      </c>
      <c r="E19" s="4">
        <f t="shared" si="7"/>
        <v>107.96993922022112</v>
      </c>
      <c r="F19" s="6">
        <f t="shared" si="0"/>
        <v>3.9398784404422429</v>
      </c>
      <c r="G19" s="6">
        <f t="shared" si="1"/>
        <v>149.71538073680523</v>
      </c>
      <c r="H19" s="2">
        <f t="shared" si="2"/>
        <v>17.627679099687285</v>
      </c>
      <c r="I19" s="2">
        <f t="shared" si="3"/>
        <v>2.3329306573888919</v>
      </c>
      <c r="J19">
        <f t="shared" si="4"/>
        <v>3189.8225803978567</v>
      </c>
      <c r="K19">
        <f t="shared" si="5"/>
        <v>11037848.138995491</v>
      </c>
    </row>
    <row r="20" spans="1:11" x14ac:dyDescent="0.2">
      <c r="A20">
        <v>44</v>
      </c>
      <c r="B20">
        <v>118</v>
      </c>
      <c r="C20" s="4">
        <f t="shared" si="6"/>
        <v>17.627679099687285</v>
      </c>
      <c r="D20" s="4">
        <f t="shared" si="6"/>
        <v>2.3329306573888919</v>
      </c>
      <c r="E20" s="4">
        <f t="shared" si="7"/>
        <v>120.27662802479853</v>
      </c>
      <c r="F20" s="6">
        <f t="shared" si="0"/>
        <v>4.5532560495970529</v>
      </c>
      <c r="G20" s="6">
        <f t="shared" si="1"/>
        <v>200.34326618227033</v>
      </c>
      <c r="H20" s="2">
        <f t="shared" si="2"/>
        <v>17.547059839354617</v>
      </c>
      <c r="I20" s="2">
        <f t="shared" si="3"/>
        <v>2.2726285426874187</v>
      </c>
      <c r="J20">
        <f t="shared" si="4"/>
        <v>2872.9135364233903</v>
      </c>
      <c r="K20">
        <f t="shared" si="5"/>
        <v>9938077.0675264001</v>
      </c>
    </row>
    <row r="21" spans="1:11" x14ac:dyDescent="0.2">
      <c r="A21">
        <v>99</v>
      </c>
      <c r="B21">
        <v>228</v>
      </c>
      <c r="C21" s="4">
        <f t="shared" si="6"/>
        <v>17.547059839354617</v>
      </c>
      <c r="D21" s="4">
        <f t="shared" si="6"/>
        <v>2.2726285426874187</v>
      </c>
      <c r="E21" s="4">
        <f t="shared" si="7"/>
        <v>242.53728556540904</v>
      </c>
      <c r="F21" s="6">
        <f t="shared" si="0"/>
        <v>29.074571130818072</v>
      </c>
      <c r="G21" s="6">
        <f t="shared" si="1"/>
        <v>2878.382541950989</v>
      </c>
      <c r="H21" s="2">
        <f t="shared" si="2"/>
        <v>17.004619424408467</v>
      </c>
      <c r="I21" s="2">
        <f t="shared" si="3"/>
        <v>1.3595727170570526</v>
      </c>
      <c r="J21">
        <f t="shared" si="4"/>
        <v>2670.1552514251512</v>
      </c>
      <c r="K21">
        <f t="shared" si="5"/>
        <v>9772777.966554584</v>
      </c>
    </row>
    <row r="22" spans="1:11" x14ac:dyDescent="0.2">
      <c r="A22">
        <v>13</v>
      </c>
      <c r="B22">
        <v>56</v>
      </c>
      <c r="C22" s="4">
        <f t="shared" si="6"/>
        <v>17.004619424408467</v>
      </c>
      <c r="D22" s="4">
        <f t="shared" si="6"/>
        <v>1.3595727170570526</v>
      </c>
      <c r="E22" s="4">
        <f t="shared" si="7"/>
        <v>34.679064746150146</v>
      </c>
      <c r="F22" s="6">
        <f t="shared" si="0"/>
        <v>-42.641870507699707</v>
      </c>
      <c r="G22" s="6">
        <f t="shared" si="1"/>
        <v>-554.34431660009614</v>
      </c>
      <c r="H22" s="2">
        <f t="shared" si="2"/>
        <v>17.829836090290652</v>
      </c>
      <c r="I22" s="2">
        <f t="shared" si="3"/>
        <v>1.5368979680952695</v>
      </c>
      <c r="J22">
        <f t="shared" si="4"/>
        <v>2584.9726383221791</v>
      </c>
      <c r="K22">
        <f t="shared" si="5"/>
        <v>8826229.9320338089</v>
      </c>
    </row>
    <row r="23" spans="1:11" x14ac:dyDescent="0.2">
      <c r="A23">
        <v>21</v>
      </c>
      <c r="B23">
        <v>72</v>
      </c>
      <c r="C23" s="4">
        <f t="shared" si="6"/>
        <v>17.829836090290652</v>
      </c>
      <c r="D23" s="4">
        <f t="shared" si="6"/>
        <v>1.5368979680952695</v>
      </c>
      <c r="E23" s="4">
        <f t="shared" si="7"/>
        <v>50.104693420291312</v>
      </c>
      <c r="F23" s="6">
        <f t="shared" si="0"/>
        <v>-43.790613159417376</v>
      </c>
      <c r="G23" s="6">
        <f t="shared" si="1"/>
        <v>-919.60287634776489</v>
      </c>
      <c r="H23" s="2">
        <f t="shared" si="2"/>
        <v>18.691133321321985</v>
      </c>
      <c r="I23" s="2">
        <f t="shared" si="3"/>
        <v>1.8464350631180106</v>
      </c>
      <c r="J23">
        <f t="shared" si="4"/>
        <v>2518.2371545777351</v>
      </c>
      <c r="K23">
        <f t="shared" si="5"/>
        <v>8028173.8838491365</v>
      </c>
    </row>
    <row r="24" spans="1:11" x14ac:dyDescent="0.2">
      <c r="A24">
        <v>28</v>
      </c>
      <c r="B24">
        <v>86</v>
      </c>
      <c r="C24" s="4">
        <f t="shared" si="6"/>
        <v>18.691133321321985</v>
      </c>
      <c r="D24" s="4">
        <f t="shared" si="6"/>
        <v>1.8464350631180106</v>
      </c>
      <c r="E24" s="4">
        <f t="shared" si="7"/>
        <v>70.391315088626286</v>
      </c>
      <c r="F24" s="6">
        <f t="shared" si="0"/>
        <v>-31.217369822747429</v>
      </c>
      <c r="G24" s="6">
        <f t="shared" si="1"/>
        <v>-874.08635503692801</v>
      </c>
      <c r="H24" s="2">
        <f t="shared" si="2"/>
        <v>19.313215837765622</v>
      </c>
      <c r="I24" s="2">
        <f t="shared" si="3"/>
        <v>2.1549285188638376</v>
      </c>
      <c r="J24">
        <f t="shared" si="4"/>
        <v>2363.8658569849799</v>
      </c>
      <c r="K24">
        <f t="shared" si="5"/>
        <v>7301759.1910703974</v>
      </c>
    </row>
    <row r="25" spans="1:11" x14ac:dyDescent="0.2">
      <c r="A25">
        <v>20</v>
      </c>
      <c r="B25">
        <v>70</v>
      </c>
      <c r="C25" s="4">
        <f t="shared" si="6"/>
        <v>19.313215837765622</v>
      </c>
      <c r="D25" s="4">
        <f t="shared" si="6"/>
        <v>2.1549285188638376</v>
      </c>
      <c r="E25" s="4">
        <f t="shared" si="7"/>
        <v>62.411786215042369</v>
      </c>
      <c r="F25" s="6">
        <f t="shared" si="0"/>
        <v>-15.176427569915262</v>
      </c>
      <c r="G25" s="6">
        <f t="shared" si="1"/>
        <v>-303.52855139830524</v>
      </c>
      <c r="H25" s="2">
        <f t="shared" si="2"/>
        <v>19.625362100534474</v>
      </c>
      <c r="I25" s="2">
        <f t="shared" si="3"/>
        <v>2.2672559420568201</v>
      </c>
      <c r="J25">
        <f t="shared" si="4"/>
        <v>2150.5116666649701</v>
      </c>
      <c r="K25">
        <f t="shared" si="5"/>
        <v>6580796.2301147534</v>
      </c>
    </row>
    <row r="26" spans="1:11" x14ac:dyDescent="0.2">
      <c r="A26">
        <v>8</v>
      </c>
      <c r="B26">
        <v>46</v>
      </c>
      <c r="C26" s="4">
        <f t="shared" si="6"/>
        <v>19.625362100534474</v>
      </c>
      <c r="D26" s="4">
        <f t="shared" si="6"/>
        <v>2.2672559420568201</v>
      </c>
      <c r="E26" s="4">
        <f t="shared" si="7"/>
        <v>37.763409636989039</v>
      </c>
      <c r="F26" s="6">
        <f t="shared" si="0"/>
        <v>-16.473180726021923</v>
      </c>
      <c r="G26" s="6">
        <f t="shared" si="1"/>
        <v>-131.78544580817538</v>
      </c>
      <c r="H26" s="2">
        <f t="shared" si="2"/>
        <v>19.980589585965784</v>
      </c>
      <c r="I26" s="2">
        <f t="shared" si="3"/>
        <v>2.3186281495930423</v>
      </c>
      <c r="J26">
        <f t="shared" si="4"/>
        <v>1962.597068321691</v>
      </c>
      <c r="K26">
        <f t="shared" si="5"/>
        <v>5924453.3474759636</v>
      </c>
    </row>
    <row r="27" spans="1:11" x14ac:dyDescent="0.2">
      <c r="A27">
        <v>64</v>
      </c>
      <c r="B27">
        <v>158</v>
      </c>
      <c r="C27" s="4">
        <f t="shared" si="6"/>
        <v>19.980589585965784</v>
      </c>
      <c r="D27" s="4">
        <f t="shared" si="6"/>
        <v>2.3186281495930423</v>
      </c>
      <c r="E27" s="4">
        <f t="shared" si="7"/>
        <v>168.3727911599205</v>
      </c>
      <c r="F27" s="6">
        <f t="shared" si="0"/>
        <v>20.745582319840992</v>
      </c>
      <c r="G27" s="6">
        <f t="shared" si="1"/>
        <v>1327.7172684698235</v>
      </c>
      <c r="H27" s="2">
        <f t="shared" si="2"/>
        <v>19.512304790691758</v>
      </c>
      <c r="I27" s="2">
        <f t="shared" si="3"/>
        <v>1.7731448462849293</v>
      </c>
      <c r="J27">
        <f t="shared" si="4"/>
        <v>1809.375280068452</v>
      </c>
      <c r="K27">
        <f t="shared" si="5"/>
        <v>5508291.3272276642</v>
      </c>
    </row>
    <row r="28" spans="1:11" x14ac:dyDescent="0.2">
      <c r="A28">
        <v>99</v>
      </c>
      <c r="B28">
        <v>228</v>
      </c>
      <c r="C28" s="4">
        <f t="shared" si="6"/>
        <v>19.512304790691758</v>
      </c>
      <c r="D28" s="4">
        <f t="shared" si="6"/>
        <v>1.7731448462849293</v>
      </c>
      <c r="E28" s="4">
        <f t="shared" si="7"/>
        <v>195.05364457289977</v>
      </c>
      <c r="F28" s="6">
        <f t="shared" si="0"/>
        <v>-65.892710854200459</v>
      </c>
      <c r="G28" s="6">
        <f t="shared" si="1"/>
        <v>-6523.3783745658457</v>
      </c>
      <c r="H28" s="2">
        <f t="shared" si="2"/>
        <v>21.061381943639077</v>
      </c>
      <c r="I28" s="2">
        <f t="shared" si="3"/>
        <v>4.5526284650123987</v>
      </c>
      <c r="J28">
        <f t="shared" si="4"/>
        <v>2062.6226864331334</v>
      </c>
      <c r="K28">
        <f t="shared" si="5"/>
        <v>9212908.7362802289</v>
      </c>
    </row>
    <row r="29" spans="1:11" x14ac:dyDescent="0.2">
      <c r="A29">
        <v>70</v>
      </c>
      <c r="B29">
        <v>170</v>
      </c>
      <c r="C29" s="4">
        <f t="shared" si="6"/>
        <v>21.061381943639077</v>
      </c>
      <c r="D29" s="4">
        <f t="shared" si="6"/>
        <v>4.5526284650123987</v>
      </c>
      <c r="E29" s="4">
        <f t="shared" si="7"/>
        <v>339.74537449450702</v>
      </c>
      <c r="F29" s="6">
        <f t="shared" si="0"/>
        <v>339.49074898901404</v>
      </c>
      <c r="G29" s="6">
        <f t="shared" si="1"/>
        <v>23764.352429230981</v>
      </c>
      <c r="H29" s="2">
        <f t="shared" si="2"/>
        <v>13.586264001878448</v>
      </c>
      <c r="I29" s="2">
        <f t="shared" si="3"/>
        <v>-3.2767556413211176</v>
      </c>
      <c r="J29">
        <f t="shared" si="4"/>
        <v>13381.75728270199</v>
      </c>
      <c r="K29">
        <f t="shared" si="5"/>
        <v>64766062.500721835</v>
      </c>
    </row>
    <row r="30" spans="1:11" x14ac:dyDescent="0.2">
      <c r="A30">
        <v>27</v>
      </c>
      <c r="B30">
        <v>84</v>
      </c>
      <c r="C30" s="4">
        <f t="shared" si="6"/>
        <v>13.586264001878448</v>
      </c>
      <c r="D30" s="4">
        <f t="shared" si="6"/>
        <v>-3.2767556413211176</v>
      </c>
      <c r="E30" s="4">
        <f t="shared" si="7"/>
        <v>-74.886138313791733</v>
      </c>
      <c r="F30" s="6">
        <f t="shared" si="0"/>
        <v>-317.77227662758344</v>
      </c>
      <c r="G30" s="6">
        <f t="shared" si="1"/>
        <v>-8579.8514689447529</v>
      </c>
      <c r="H30" s="2">
        <f t="shared" si="2"/>
        <v>16.333268883607598</v>
      </c>
      <c r="I30" s="2">
        <f t="shared" si="3"/>
        <v>-2.2106358091163303</v>
      </c>
      <c r="J30">
        <f t="shared" si="4"/>
        <v>22141.503533739531</v>
      </c>
      <c r="K30">
        <f t="shared" si="5"/>
        <v>65650841.373564996</v>
      </c>
    </row>
    <row r="31" spans="1:11" x14ac:dyDescent="0.2">
      <c r="A31">
        <v>17</v>
      </c>
      <c r="B31">
        <v>64</v>
      </c>
      <c r="C31" s="4">
        <f t="shared" si="6"/>
        <v>16.333268883607598</v>
      </c>
      <c r="D31" s="4">
        <f t="shared" si="6"/>
        <v>-2.2106358091163303</v>
      </c>
      <c r="E31" s="4">
        <f t="shared" si="7"/>
        <v>-21.247539871370019</v>
      </c>
      <c r="F31" s="6">
        <f t="shared" si="0"/>
        <v>-170.49507974274005</v>
      </c>
      <c r="G31" s="6">
        <f t="shared" si="1"/>
        <v>-2898.4163556265808</v>
      </c>
      <c r="H31" s="2">
        <f t="shared" si="2"/>
        <v>17.479067506791555</v>
      </c>
      <c r="I31" s="2">
        <f t="shared" si="3"/>
        <v>-1.85291794945095</v>
      </c>
      <c r="J31">
        <f t="shared" si="4"/>
        <v>22834.210402013909</v>
      </c>
      <c r="K31">
        <f t="shared" si="5"/>
        <v>59925838.973264866</v>
      </c>
    </row>
    <row r="32" spans="1:11" x14ac:dyDescent="0.2">
      <c r="A32">
        <v>8</v>
      </c>
      <c r="B32">
        <v>46</v>
      </c>
      <c r="C32" s="4">
        <f t="shared" si="6"/>
        <v>17.479067506791555</v>
      </c>
      <c r="D32" s="4">
        <f t="shared" si="6"/>
        <v>-1.85291794945095</v>
      </c>
      <c r="E32" s="4">
        <f t="shared" si="7"/>
        <v>2.655723911183955</v>
      </c>
      <c r="F32" s="6">
        <f t="shared" si="0"/>
        <v>-86.68855217763209</v>
      </c>
      <c r="G32" s="6">
        <f t="shared" si="1"/>
        <v>-693.50841742105672</v>
      </c>
      <c r="H32" s="2">
        <f t="shared" si="2"/>
        <v>18.052746239933629</v>
      </c>
      <c r="I32" s="2">
        <f t="shared" si="3"/>
        <v>-1.7633310151360575</v>
      </c>
      <c r="J32">
        <f t="shared" si="4"/>
        <v>21302.279869677925</v>
      </c>
      <c r="K32">
        <f t="shared" si="5"/>
        <v>53981350.468441769</v>
      </c>
    </row>
    <row r="33" spans="1:11" x14ac:dyDescent="0.2">
      <c r="A33" s="6"/>
      <c r="B33" s="6"/>
      <c r="H33" s="2"/>
      <c r="J33" s="6">
        <v>5189.4663370847638</v>
      </c>
      <c r="K33">
        <v>22855431.210169159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L8" sqref="L8"/>
    </sheetView>
  </sheetViews>
  <sheetFormatPr baseColWidth="10" defaultColWidth="8.83203125" defaultRowHeight="15" x14ac:dyDescent="0.2"/>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1" width="6.5" customWidth="1"/>
    <col min="12" max="12" width="8.33203125" customWidth="1"/>
    <col min="13" max="13" width="13.1640625" customWidth="1"/>
  </cols>
  <sheetData>
    <row r="1" spans="1:15" x14ac:dyDescent="0.2">
      <c r="B1" t="s">
        <v>21</v>
      </c>
      <c r="C1" s="4">
        <v>20.756066990108753</v>
      </c>
      <c r="D1" s="4" t="s">
        <v>14</v>
      </c>
      <c r="I1" t="s">
        <v>24</v>
      </c>
      <c r="J1">
        <v>0.9</v>
      </c>
      <c r="K1">
        <f>1-J1</f>
        <v>9.9999999999999978E-2</v>
      </c>
      <c r="L1">
        <v>0.9</v>
      </c>
      <c r="M1">
        <f>1-L1</f>
        <v>9.9999999999999978E-2</v>
      </c>
    </row>
    <row r="2" spans="1:15" x14ac:dyDescent="0.2">
      <c r="B2" t="s">
        <v>22</v>
      </c>
      <c r="C2" s="4">
        <v>2.5838787480880723</v>
      </c>
      <c r="D2">
        <v>1</v>
      </c>
      <c r="F2" s="8"/>
      <c r="G2" s="8"/>
    </row>
    <row r="3" spans="1:15" s="1" customFormat="1" x14ac:dyDescent="0.2">
      <c r="A3" s="1" t="s">
        <v>15</v>
      </c>
      <c r="B3" s="1" t="s">
        <v>16</v>
      </c>
      <c r="C3" s="5" t="s">
        <v>21</v>
      </c>
      <c r="D3" s="5" t="s">
        <v>22</v>
      </c>
      <c r="E3" s="5" t="s">
        <v>18</v>
      </c>
      <c r="F3" s="7" t="s">
        <v>6</v>
      </c>
      <c r="G3" s="7" t="s">
        <v>9</v>
      </c>
      <c r="H3" s="1" t="s">
        <v>13</v>
      </c>
      <c r="I3" s="1" t="s">
        <v>12</v>
      </c>
      <c r="J3">
        <v>0</v>
      </c>
      <c r="K3">
        <v>0</v>
      </c>
      <c r="L3">
        <v>0</v>
      </c>
      <c r="M3">
        <v>0</v>
      </c>
      <c r="N3" s="3"/>
      <c r="O3" s="3"/>
    </row>
    <row r="4" spans="1:15" x14ac:dyDescent="0.2">
      <c r="A4">
        <v>14</v>
      </c>
      <c r="B4">
        <v>58</v>
      </c>
      <c r="C4" s="4">
        <f>C1</f>
        <v>20.756066990108753</v>
      </c>
      <c r="D4" s="4">
        <f>C2</f>
        <v>2.5838787480880723</v>
      </c>
      <c r="E4" s="4">
        <f>C4+D4*A4</f>
        <v>56.930369463341762</v>
      </c>
      <c r="F4" s="6">
        <f t="shared" ref="F4:F32" si="0">2*(D4*A4+C4-B4)</f>
        <v>-2.1392610733164759</v>
      </c>
      <c r="G4" s="6">
        <f t="shared" ref="G4:G32" si="1">F4*A4</f>
        <v>-29.949655026430662</v>
      </c>
      <c r="H4" s="2">
        <f>C4-J4*$D$2/SQRT(L4)</f>
        <v>21.07229475612559</v>
      </c>
      <c r="I4" s="2">
        <f>D4-K4*$D$2/SQRT(M4)</f>
        <v>2.9001065141049103</v>
      </c>
      <c r="J4">
        <f>J3*$J$1+$K$1*F4</f>
        <v>-0.21392610733164755</v>
      </c>
      <c r="K4">
        <f>K3*$J$1+$K$1*G4</f>
        <v>-2.9949655026430655</v>
      </c>
      <c r="L4">
        <f t="shared" ref="L4:L32" si="2">L3*$L$1+$M$1*F4^2</f>
        <v>0.45764379398071592</v>
      </c>
      <c r="M4">
        <f t="shared" ref="M4:M32" si="3">M3*$L$1+$M$1*G4^2</f>
        <v>89.69818362022032</v>
      </c>
    </row>
    <row r="5" spans="1:15" x14ac:dyDescent="0.2">
      <c r="A5">
        <v>86</v>
      </c>
      <c r="B5">
        <v>202</v>
      </c>
      <c r="C5" s="4">
        <f>H4</f>
        <v>21.07229475612559</v>
      </c>
      <c r="D5" s="4">
        <f>I4</f>
        <v>2.9001065141049103</v>
      </c>
      <c r="E5" s="4">
        <f>C5+D5*A5</f>
        <v>270.48145496914788</v>
      </c>
      <c r="F5" s="6">
        <f t="shared" si="0"/>
        <v>136.96290993829575</v>
      </c>
      <c r="G5" s="6">
        <f t="shared" si="1"/>
        <v>11778.810254693435</v>
      </c>
      <c r="H5" s="2">
        <f t="shared" ref="H5:H32" si="4">C5-J5*$D$2/SQRT(L5)</f>
        <v>20.760546535820598</v>
      </c>
      <c r="I5" s="2">
        <f t="shared" ref="I5:I32" si="5">D5-K5*$D$2/SQRT(M5)</f>
        <v>2.584603323224584</v>
      </c>
      <c r="J5">
        <f t="shared" ref="J5:J32" si="6">J4*$J$1+$K$1*F5</f>
        <v>13.50375749723109</v>
      </c>
      <c r="K5">
        <f t="shared" ref="K5:K32" si="7">K4*$J$1+$K$1*G5</f>
        <v>1175.1855565169644</v>
      </c>
      <c r="L5">
        <f t="shared" si="2"/>
        <v>1876.2957492911537</v>
      </c>
      <c r="M5">
        <f t="shared" si="3"/>
        <v>13874117.829972377</v>
      </c>
    </row>
    <row r="6" spans="1:15" x14ac:dyDescent="0.2">
      <c r="A6">
        <v>28</v>
      </c>
      <c r="B6">
        <v>86</v>
      </c>
      <c r="C6" s="4">
        <f>H5</f>
        <v>20.760546535820598</v>
      </c>
      <c r="D6" s="4">
        <f>I5</f>
        <v>2.584603323224584</v>
      </c>
      <c r="E6" s="4">
        <f>C6+D6*A6</f>
        <v>93.129439586108944</v>
      </c>
      <c r="F6" s="6">
        <f t="shared" si="0"/>
        <v>14.258879172217888</v>
      </c>
      <c r="G6" s="6">
        <f t="shared" si="1"/>
        <v>399.24861682210087</v>
      </c>
      <c r="H6" s="2">
        <f t="shared" si="4"/>
        <v>20.432069003861976</v>
      </c>
      <c r="I6" s="2">
        <f t="shared" si="5"/>
        <v>2.2741903159161687</v>
      </c>
      <c r="J6">
        <f t="shared" si="6"/>
        <v>13.57926966472977</v>
      </c>
      <c r="K6">
        <f t="shared" si="7"/>
        <v>1097.5918625474781</v>
      </c>
      <c r="L6">
        <f t="shared" si="2"/>
        <v>1708.9977378868293</v>
      </c>
      <c r="M6">
        <f t="shared" si="3"/>
        <v>12502645.992778575</v>
      </c>
    </row>
    <row r="7" spans="1:15" x14ac:dyDescent="0.2">
      <c r="A7">
        <v>51</v>
      </c>
      <c r="B7">
        <v>132</v>
      </c>
      <c r="C7" s="4">
        <f t="shared" ref="C7:D32" si="8">H6</f>
        <v>20.432069003861976</v>
      </c>
      <c r="D7" s="4">
        <f t="shared" si="8"/>
        <v>2.2741903159161687</v>
      </c>
      <c r="E7" s="4">
        <f t="shared" ref="E7:E32" si="9">C7+D7*A7</f>
        <v>136.41577511558657</v>
      </c>
      <c r="F7" s="6">
        <f t="shared" si="0"/>
        <v>8.8315502311731393</v>
      </c>
      <c r="G7" s="6">
        <f t="shared" si="1"/>
        <v>450.4090617898301</v>
      </c>
      <c r="H7" s="2">
        <f t="shared" si="4"/>
        <v>20.098773067005226</v>
      </c>
      <c r="I7" s="2">
        <f t="shared" si="5"/>
        <v>1.9665566879845937</v>
      </c>
      <c r="J7">
        <f t="shared" si="6"/>
        <v>13.104497721374106</v>
      </c>
      <c r="K7">
        <f t="shared" si="7"/>
        <v>1032.8735824717132</v>
      </c>
      <c r="L7">
        <f t="shared" si="2"/>
        <v>1545.8975920467199</v>
      </c>
      <c r="M7">
        <f t="shared" si="3"/>
        <v>11272668.225794956</v>
      </c>
    </row>
    <row r="8" spans="1:15" x14ac:dyDescent="0.2">
      <c r="A8">
        <v>28</v>
      </c>
      <c r="B8">
        <v>86</v>
      </c>
      <c r="C8" s="4">
        <f t="shared" si="8"/>
        <v>20.098773067005226</v>
      </c>
      <c r="D8" s="4">
        <f t="shared" si="8"/>
        <v>1.9665566879845937</v>
      </c>
      <c r="E8" s="4">
        <f t="shared" si="9"/>
        <v>75.162360330573847</v>
      </c>
      <c r="F8" s="6">
        <f t="shared" si="0"/>
        <v>-21.675279338852306</v>
      </c>
      <c r="G8" s="6">
        <f t="shared" si="1"/>
        <v>-606.90782148786457</v>
      </c>
      <c r="H8" s="2">
        <f t="shared" si="4"/>
        <v>19.844941198261612</v>
      </c>
      <c r="I8" s="2">
        <f t="shared" si="5"/>
        <v>1.6942577430447174</v>
      </c>
      <c r="J8">
        <f t="shared" si="6"/>
        <v>9.6265200153514652</v>
      </c>
      <c r="K8">
        <f t="shared" si="7"/>
        <v>868.89544207575557</v>
      </c>
      <c r="L8">
        <f t="shared" si="2"/>
        <v>1438.2896062837756</v>
      </c>
      <c r="M8">
        <f t="shared" si="3"/>
        <v>10182235.113593776</v>
      </c>
    </row>
    <row r="9" spans="1:15" x14ac:dyDescent="0.2">
      <c r="A9">
        <v>29</v>
      </c>
      <c r="B9">
        <v>88</v>
      </c>
      <c r="C9" s="4">
        <f t="shared" si="8"/>
        <v>19.844941198261612</v>
      </c>
      <c r="D9" s="4">
        <f t="shared" si="8"/>
        <v>1.6942577430447174</v>
      </c>
      <c r="E9" s="4">
        <f t="shared" si="9"/>
        <v>68.978415746558412</v>
      </c>
      <c r="F9" s="6">
        <f t="shared" si="0"/>
        <v>-38.043168506883177</v>
      </c>
      <c r="G9" s="6">
        <f t="shared" si="1"/>
        <v>-1103.2518866996122</v>
      </c>
      <c r="H9" s="2">
        <f t="shared" si="4"/>
        <v>19.716844700330835</v>
      </c>
      <c r="I9" s="2">
        <f t="shared" si="5"/>
        <v>1.4738357653576084</v>
      </c>
      <c r="J9">
        <f t="shared" si="6"/>
        <v>4.8595511631280033</v>
      </c>
      <c r="K9">
        <f t="shared" si="7"/>
        <v>671.68070919821878</v>
      </c>
      <c r="L9">
        <f t="shared" si="2"/>
        <v>1439.1889126597089</v>
      </c>
      <c r="M9">
        <f t="shared" si="3"/>
        <v>9285728.0747850239</v>
      </c>
    </row>
    <row r="10" spans="1:15" x14ac:dyDescent="0.2">
      <c r="A10">
        <v>72</v>
      </c>
      <c r="B10">
        <v>174</v>
      </c>
      <c r="C10" s="4">
        <f t="shared" si="8"/>
        <v>19.716844700330835</v>
      </c>
      <c r="D10" s="4">
        <f t="shared" si="8"/>
        <v>1.4738357653576084</v>
      </c>
      <c r="E10" s="4">
        <f t="shared" si="9"/>
        <v>125.83301980607864</v>
      </c>
      <c r="F10" s="6">
        <f t="shared" si="0"/>
        <v>-96.333960387842723</v>
      </c>
      <c r="G10" s="6">
        <f t="shared" si="1"/>
        <v>-6936.0451479246758</v>
      </c>
      <c r="H10" s="2">
        <f t="shared" si="4"/>
        <v>19.828395030199786</v>
      </c>
      <c r="I10" s="2">
        <f t="shared" si="5"/>
        <v>1.4983872491396022</v>
      </c>
      <c r="J10">
        <f t="shared" si="6"/>
        <v>-5.2597999919690661</v>
      </c>
      <c r="K10">
        <f t="shared" si="7"/>
        <v>-89.091876514070464</v>
      </c>
      <c r="L10">
        <f t="shared" si="2"/>
        <v>2223.2932137943831</v>
      </c>
      <c r="M10">
        <f t="shared" si="3"/>
        <v>13168027.496711463</v>
      </c>
    </row>
    <row r="11" spans="1:15" x14ac:dyDescent="0.2">
      <c r="A11">
        <v>62</v>
      </c>
      <c r="B11">
        <v>154</v>
      </c>
      <c r="C11" s="4">
        <f t="shared" si="8"/>
        <v>19.828395030199786</v>
      </c>
      <c r="D11" s="4">
        <f t="shared" si="8"/>
        <v>1.4983872491396022</v>
      </c>
      <c r="E11" s="4">
        <f t="shared" si="9"/>
        <v>112.72840447685512</v>
      </c>
      <c r="F11" s="6">
        <f t="shared" si="0"/>
        <v>-82.543191046289763</v>
      </c>
      <c r="G11" s="6">
        <f t="shared" si="1"/>
        <v>-5117.6778448699652</v>
      </c>
      <c r="H11" s="2">
        <f t="shared" si="4"/>
        <v>20.07917515613439</v>
      </c>
      <c r="I11" s="2">
        <f t="shared" si="5"/>
        <v>1.6540005781984166</v>
      </c>
      <c r="J11">
        <f t="shared" si="6"/>
        <v>-12.988139097401135</v>
      </c>
      <c r="K11">
        <f t="shared" si="7"/>
        <v>-591.95047334965977</v>
      </c>
      <c r="L11">
        <f t="shared" si="2"/>
        <v>2682.3017312253737</v>
      </c>
      <c r="M11">
        <f t="shared" si="3"/>
        <v>14470287.399427604</v>
      </c>
    </row>
    <row r="12" spans="1:15" x14ac:dyDescent="0.2">
      <c r="A12">
        <v>84</v>
      </c>
      <c r="B12">
        <v>198</v>
      </c>
      <c r="C12" s="4">
        <f t="shared" si="8"/>
        <v>20.07917515613439</v>
      </c>
      <c r="D12" s="4">
        <f t="shared" si="8"/>
        <v>1.6540005781984166</v>
      </c>
      <c r="E12" s="4">
        <f t="shared" si="9"/>
        <v>159.01522372480139</v>
      </c>
      <c r="F12" s="6">
        <f t="shared" si="0"/>
        <v>-77.969552550397225</v>
      </c>
      <c r="G12" s="6">
        <f t="shared" si="1"/>
        <v>-6549.4424142333664</v>
      </c>
      <c r="H12" s="2">
        <f t="shared" si="4"/>
        <v>20.433647174201546</v>
      </c>
      <c r="I12" s="2">
        <f t="shared" si="5"/>
        <v>1.9394461115864257</v>
      </c>
      <c r="J12">
        <f t="shared" si="6"/>
        <v>-19.486280442700743</v>
      </c>
      <c r="K12">
        <f t="shared" si="7"/>
        <v>-1187.6996674380302</v>
      </c>
      <c r="L12">
        <f t="shared" si="2"/>
        <v>3021.9966705937513</v>
      </c>
      <c r="M12">
        <f t="shared" si="3"/>
        <v>17312778.253220744</v>
      </c>
    </row>
    <row r="13" spans="1:15" x14ac:dyDescent="0.2">
      <c r="A13">
        <v>15</v>
      </c>
      <c r="B13">
        <v>60</v>
      </c>
      <c r="C13" s="4">
        <f t="shared" si="8"/>
        <v>20.433647174201546</v>
      </c>
      <c r="D13" s="4">
        <f t="shared" si="8"/>
        <v>1.9394461115864257</v>
      </c>
      <c r="E13" s="4">
        <f t="shared" si="9"/>
        <v>49.525338847997929</v>
      </c>
      <c r="F13" s="6">
        <f t="shared" si="0"/>
        <v>-20.949322304004141</v>
      </c>
      <c r="G13" s="6">
        <f t="shared" si="1"/>
        <v>-314.23983456006215</v>
      </c>
      <c r="H13" s="2">
        <f t="shared" si="4"/>
        <v>20.807097853334238</v>
      </c>
      <c r="I13" s="2">
        <f t="shared" si="5"/>
        <v>2.2181160309555317</v>
      </c>
      <c r="J13">
        <f t="shared" si="6"/>
        <v>-19.632584628831083</v>
      </c>
      <c r="K13">
        <f t="shared" si="7"/>
        <v>-1100.3536841502334</v>
      </c>
      <c r="L13">
        <f t="shared" si="2"/>
        <v>2763.6844140340809</v>
      </c>
      <c r="M13">
        <f t="shared" si="3"/>
        <v>15591375.095261103</v>
      </c>
    </row>
    <row r="14" spans="1:15" x14ac:dyDescent="0.2">
      <c r="A14">
        <v>42</v>
      </c>
      <c r="B14">
        <v>114</v>
      </c>
      <c r="C14" s="4">
        <f t="shared" si="8"/>
        <v>20.807097853334238</v>
      </c>
      <c r="D14" s="4">
        <f t="shared" si="8"/>
        <v>2.2181160309555317</v>
      </c>
      <c r="E14" s="4">
        <f t="shared" si="9"/>
        <v>113.96797115346656</v>
      </c>
      <c r="F14" s="6">
        <f t="shared" si="0"/>
        <v>-6.4057693066871479E-2</v>
      </c>
      <c r="G14" s="6">
        <f t="shared" si="1"/>
        <v>-2.6904231088086021</v>
      </c>
      <c r="H14" s="2">
        <f t="shared" si="4"/>
        <v>21.161512687670594</v>
      </c>
      <c r="I14" s="2">
        <f t="shared" si="5"/>
        <v>2.4825573442476707</v>
      </c>
      <c r="J14">
        <f t="shared" si="6"/>
        <v>-17.675731935254664</v>
      </c>
      <c r="K14">
        <f t="shared" si="7"/>
        <v>-990.58735804609103</v>
      </c>
      <c r="L14">
        <f t="shared" si="2"/>
        <v>2487.3163829694772</v>
      </c>
      <c r="M14">
        <f t="shared" si="3"/>
        <v>14032238.309572645</v>
      </c>
    </row>
    <row r="15" spans="1:15" x14ac:dyDescent="0.2">
      <c r="A15">
        <v>62</v>
      </c>
      <c r="B15">
        <v>154</v>
      </c>
      <c r="C15" s="4">
        <f t="shared" si="8"/>
        <v>21.161512687670594</v>
      </c>
      <c r="D15" s="4">
        <f>I14</f>
        <v>2.4825573442476707</v>
      </c>
      <c r="E15" s="4">
        <f t="shared" si="9"/>
        <v>175.0800680310262</v>
      </c>
      <c r="F15" s="6">
        <f t="shared" si="0"/>
        <v>42.160136062052402</v>
      </c>
      <c r="G15" s="6">
        <f t="shared" si="1"/>
        <v>2613.9284358472487</v>
      </c>
      <c r="H15" s="2">
        <f t="shared" si="4"/>
        <v>21.39936964240475</v>
      </c>
      <c r="I15" s="2">
        <f t="shared" si="5"/>
        <v>2.6552635614177627</v>
      </c>
      <c r="J15">
        <f t="shared" si="6"/>
        <v>-11.692145135523958</v>
      </c>
      <c r="K15">
        <f t="shared" si="7"/>
        <v>-630.13577865675711</v>
      </c>
      <c r="L15">
        <f t="shared" si="2"/>
        <v>2416.3324519496068</v>
      </c>
      <c r="M15">
        <f t="shared" si="3"/>
        <v>13312276.665388465</v>
      </c>
    </row>
    <row r="16" spans="1:15" x14ac:dyDescent="0.2">
      <c r="A16">
        <v>47</v>
      </c>
      <c r="B16">
        <v>124</v>
      </c>
      <c r="C16" s="4">
        <f t="shared" si="8"/>
        <v>21.39936964240475</v>
      </c>
      <c r="D16" s="4">
        <f t="shared" si="8"/>
        <v>2.6552635614177627</v>
      </c>
      <c r="E16" s="4">
        <f t="shared" si="9"/>
        <v>146.19675702903959</v>
      </c>
      <c r="F16" s="6">
        <f t="shared" si="0"/>
        <v>44.393514058079177</v>
      </c>
      <c r="G16" s="6">
        <f t="shared" si="1"/>
        <v>2086.4951607297212</v>
      </c>
      <c r="H16" s="2">
        <f t="shared" si="4"/>
        <v>21.524286826150686</v>
      </c>
      <c r="I16" s="2">
        <f t="shared" si="5"/>
        <v>2.7569957305770294</v>
      </c>
      <c r="J16">
        <f t="shared" si="6"/>
        <v>-6.0835792161636464</v>
      </c>
      <c r="K16">
        <f t="shared" si="7"/>
        <v>-358.47268471810941</v>
      </c>
      <c r="L16">
        <f t="shared" si="2"/>
        <v>2371.7776157971334</v>
      </c>
      <c r="M16">
        <f t="shared" si="3"/>
        <v>12416395.204424474</v>
      </c>
    </row>
    <row r="17" spans="1:13" x14ac:dyDescent="0.2">
      <c r="A17">
        <v>35</v>
      </c>
      <c r="B17">
        <v>100</v>
      </c>
      <c r="C17" s="4">
        <f t="shared" si="8"/>
        <v>21.524286826150686</v>
      </c>
      <c r="D17" s="4">
        <f t="shared" si="8"/>
        <v>2.7569957305770294</v>
      </c>
      <c r="E17" s="4">
        <f t="shared" si="9"/>
        <v>118.01913739634672</v>
      </c>
      <c r="F17" s="6">
        <f t="shared" si="0"/>
        <v>36.038274792693443</v>
      </c>
      <c r="G17" s="6">
        <f t="shared" si="1"/>
        <v>1261.3396177442705</v>
      </c>
      <c r="H17" s="2">
        <f t="shared" si="4"/>
        <v>21.56361297051107</v>
      </c>
      <c r="I17" s="2">
        <f t="shared" si="5"/>
        <v>2.8153610505886881</v>
      </c>
      <c r="J17">
        <f t="shared" si="6"/>
        <v>-1.8713938152779384</v>
      </c>
      <c r="K17">
        <f t="shared" si="7"/>
        <v>-196.49145447187146</v>
      </c>
      <c r="L17">
        <f t="shared" si="2"/>
        <v>2264.4755792207884</v>
      </c>
      <c r="M17">
        <f t="shared" si="3"/>
        <v>11333853.447111154</v>
      </c>
    </row>
    <row r="18" spans="1:13" x14ac:dyDescent="0.2">
      <c r="A18">
        <v>9</v>
      </c>
      <c r="B18">
        <v>48</v>
      </c>
      <c r="C18" s="4">
        <f t="shared" si="8"/>
        <v>21.56361297051107</v>
      </c>
      <c r="D18" s="4">
        <f t="shared" si="8"/>
        <v>2.8153610505886881</v>
      </c>
      <c r="E18" s="4">
        <f t="shared" si="9"/>
        <v>46.901862425809263</v>
      </c>
      <c r="F18" s="6">
        <f t="shared" si="0"/>
        <v>-2.1962751483814742</v>
      </c>
      <c r="G18" s="6">
        <f t="shared" si="1"/>
        <v>-19.766476335433268</v>
      </c>
      <c r="H18" s="2">
        <f t="shared" si="4"/>
        <v>21.60578102381362</v>
      </c>
      <c r="I18" s="2">
        <f t="shared" si="5"/>
        <v>2.8713500458208374</v>
      </c>
      <c r="J18">
        <f t="shared" si="6"/>
        <v>-1.9038819485882921</v>
      </c>
      <c r="K18">
        <f t="shared" si="7"/>
        <v>-178.81895665822765</v>
      </c>
      <c r="L18">
        <f t="shared" si="2"/>
        <v>2038.5103837514494</v>
      </c>
      <c r="M18">
        <f t="shared" si="3"/>
        <v>10200507.17375871</v>
      </c>
    </row>
    <row r="19" spans="1:13" x14ac:dyDescent="0.2">
      <c r="A19">
        <v>38</v>
      </c>
      <c r="B19">
        <v>106</v>
      </c>
      <c r="C19" s="4">
        <f t="shared" si="8"/>
        <v>21.60578102381362</v>
      </c>
      <c r="D19" s="4">
        <f t="shared" si="8"/>
        <v>2.8713500458208374</v>
      </c>
      <c r="E19" s="4">
        <f t="shared" si="9"/>
        <v>130.71708276500544</v>
      </c>
      <c r="F19" s="6">
        <f t="shared" si="0"/>
        <v>49.434165530010887</v>
      </c>
      <c r="G19" s="6">
        <f t="shared" si="1"/>
        <v>1878.4982901404137</v>
      </c>
      <c r="H19" s="2">
        <f t="shared" si="4"/>
        <v>21.534943813631305</v>
      </c>
      <c r="I19" s="2">
        <f t="shared" si="5"/>
        <v>2.8626336687771166</v>
      </c>
      <c r="J19">
        <f t="shared" si="6"/>
        <v>3.2299227992716246</v>
      </c>
      <c r="K19">
        <f t="shared" si="7"/>
        <v>26.912768021636424</v>
      </c>
      <c r="L19">
        <f t="shared" si="2"/>
        <v>2079.0330175411559</v>
      </c>
      <c r="M19">
        <f t="shared" si="3"/>
        <v>9533332.0389888845</v>
      </c>
    </row>
    <row r="20" spans="1:13" x14ac:dyDescent="0.2">
      <c r="A20">
        <v>44</v>
      </c>
      <c r="B20">
        <v>118</v>
      </c>
      <c r="C20" s="4">
        <f t="shared" si="8"/>
        <v>21.534943813631305</v>
      </c>
      <c r="D20" s="4">
        <f t="shared" si="8"/>
        <v>2.8626336687771166</v>
      </c>
      <c r="E20" s="4">
        <f t="shared" si="9"/>
        <v>147.49082523982443</v>
      </c>
      <c r="F20" s="6">
        <f t="shared" si="0"/>
        <v>58.981650479648863</v>
      </c>
      <c r="G20" s="6">
        <f t="shared" si="1"/>
        <v>2595.1926211045502</v>
      </c>
      <c r="H20" s="2">
        <f t="shared" si="4"/>
        <v>21.348024521054128</v>
      </c>
      <c r="I20" s="2">
        <f t="shared" si="5"/>
        <v>2.7693579354585172</v>
      </c>
      <c r="J20">
        <f t="shared" si="6"/>
        <v>8.8050955673093476</v>
      </c>
      <c r="K20">
        <f t="shared" si="7"/>
        <v>283.74075332992777</v>
      </c>
      <c r="L20">
        <f t="shared" si="2"/>
        <v>2219.0132251173864</v>
      </c>
      <c r="M20">
        <f t="shared" si="3"/>
        <v>9253501.3091535475</v>
      </c>
    </row>
    <row r="21" spans="1:13" x14ac:dyDescent="0.2">
      <c r="A21">
        <v>99</v>
      </c>
      <c r="B21">
        <v>228</v>
      </c>
      <c r="C21" s="4">
        <f t="shared" si="8"/>
        <v>21.348024521054128</v>
      </c>
      <c r="D21" s="4">
        <f t="shared" si="8"/>
        <v>2.7693579354585172</v>
      </c>
      <c r="E21" s="4">
        <f t="shared" si="9"/>
        <v>295.51446013144732</v>
      </c>
      <c r="F21" s="6">
        <f t="shared" si="0"/>
        <v>135.02892026289464</v>
      </c>
      <c r="G21" s="6">
        <f t="shared" si="1"/>
        <v>13367.863106026569</v>
      </c>
      <c r="H21" s="2">
        <f t="shared" si="4"/>
        <v>21.001353892597695</v>
      </c>
      <c r="I21" s="2">
        <f t="shared" si="5"/>
        <v>2.4582939944185993</v>
      </c>
      <c r="J21">
        <f t="shared" si="6"/>
        <v>21.427478036867875</v>
      </c>
      <c r="K21">
        <f t="shared" si="7"/>
        <v>1592.1529885995917</v>
      </c>
      <c r="L21">
        <f t="shared" si="2"/>
        <v>3820.3928333419635</v>
      </c>
      <c r="M21">
        <f t="shared" si="3"/>
        <v>26198127.580384821</v>
      </c>
    </row>
    <row r="22" spans="1:13" x14ac:dyDescent="0.2">
      <c r="A22">
        <v>13</v>
      </c>
      <c r="B22">
        <v>56</v>
      </c>
      <c r="C22" s="4">
        <f t="shared" si="8"/>
        <v>21.001353892597695</v>
      </c>
      <c r="D22" s="4">
        <f t="shared" si="8"/>
        <v>2.4582939944185993</v>
      </c>
      <c r="E22" s="4">
        <f t="shared" si="9"/>
        <v>52.959175820039491</v>
      </c>
      <c r="F22" s="6">
        <f t="shared" si="0"/>
        <v>-6.0816483599210187</v>
      </c>
      <c r="G22" s="6">
        <f t="shared" si="1"/>
        <v>-79.061428678973243</v>
      </c>
      <c r="H22" s="2">
        <f t="shared" si="4"/>
        <v>20.683016036523753</v>
      </c>
      <c r="I22" s="2">
        <f t="shared" si="5"/>
        <v>2.1648249208700472</v>
      </c>
      <c r="J22">
        <f t="shared" si="6"/>
        <v>18.676565397188984</v>
      </c>
      <c r="K22">
        <f t="shared" si="7"/>
        <v>1425.0315468717351</v>
      </c>
      <c r="L22">
        <f t="shared" si="2"/>
        <v>3442.0521946851404</v>
      </c>
      <c r="M22">
        <f t="shared" si="3"/>
        <v>23578939.893296815</v>
      </c>
    </row>
    <row r="23" spans="1:13" x14ac:dyDescent="0.2">
      <c r="A23">
        <v>21</v>
      </c>
      <c r="B23">
        <v>72</v>
      </c>
      <c r="C23" s="4">
        <f t="shared" si="8"/>
        <v>20.683016036523753</v>
      </c>
      <c r="D23" s="4">
        <f t="shared" si="8"/>
        <v>2.1648249208700472</v>
      </c>
      <c r="E23" s="4">
        <f t="shared" si="9"/>
        <v>66.144339374794754</v>
      </c>
      <c r="F23" s="6">
        <f t="shared" si="0"/>
        <v>-11.711321250410492</v>
      </c>
      <c r="G23" s="6">
        <f t="shared" si="1"/>
        <v>-245.93774625862034</v>
      </c>
      <c r="H23" s="2">
        <f t="shared" si="4"/>
        <v>20.402675600016373</v>
      </c>
      <c r="I23" s="2">
        <f t="shared" si="5"/>
        <v>1.8917933971830094</v>
      </c>
      <c r="J23">
        <f t="shared" si="6"/>
        <v>15.637776732429037</v>
      </c>
      <c r="K23">
        <f t="shared" si="7"/>
        <v>1257.9346175586995</v>
      </c>
      <c r="L23">
        <f t="shared" si="2"/>
        <v>3111.5624797596583</v>
      </c>
      <c r="M23">
        <f t="shared" si="3"/>
        <v>21227094.441470612</v>
      </c>
    </row>
    <row r="24" spans="1:13" x14ac:dyDescent="0.2">
      <c r="A24">
        <v>28</v>
      </c>
      <c r="B24">
        <v>86</v>
      </c>
      <c r="C24" s="4">
        <f t="shared" si="8"/>
        <v>20.402675600016373</v>
      </c>
      <c r="D24" s="4">
        <f t="shared" si="8"/>
        <v>1.8917933971830094</v>
      </c>
      <c r="E24" s="4">
        <f t="shared" si="9"/>
        <v>73.372890721140635</v>
      </c>
      <c r="F24" s="6">
        <f t="shared" si="0"/>
        <v>-25.25421855771873</v>
      </c>
      <c r="G24" s="6">
        <f t="shared" si="1"/>
        <v>-707.11811961612443</v>
      </c>
      <c r="H24" s="2">
        <f t="shared" si="4"/>
        <v>20.186887226811336</v>
      </c>
      <c r="I24" s="2">
        <f t="shared" si="5"/>
        <v>1.6492681446748456</v>
      </c>
      <c r="J24">
        <f t="shared" si="6"/>
        <v>11.548577203414261</v>
      </c>
      <c r="K24">
        <f t="shared" si="7"/>
        <v>1061.4293438412171</v>
      </c>
      <c r="L24">
        <f t="shared" si="2"/>
        <v>2864.1837872797951</v>
      </c>
      <c r="M24">
        <f t="shared" si="3"/>
        <v>19154386.600832496</v>
      </c>
    </row>
    <row r="25" spans="1:13" x14ac:dyDescent="0.2">
      <c r="A25">
        <v>20</v>
      </c>
      <c r="B25">
        <v>70</v>
      </c>
      <c r="C25" s="4">
        <f t="shared" si="8"/>
        <v>20.186887226811336</v>
      </c>
      <c r="D25" s="4">
        <f t="shared" si="8"/>
        <v>1.6492681446748456</v>
      </c>
      <c r="E25" s="4">
        <f t="shared" si="9"/>
        <v>53.172250120308249</v>
      </c>
      <c r="F25" s="6">
        <f t="shared" si="0"/>
        <v>-33.655499759383503</v>
      </c>
      <c r="G25" s="6">
        <f t="shared" si="1"/>
        <v>-673.10999518767005</v>
      </c>
      <c r="H25" s="2">
        <f t="shared" si="4"/>
        <v>20.051404920676895</v>
      </c>
      <c r="I25" s="2">
        <f t="shared" si="5"/>
        <v>1.4356807596162997</v>
      </c>
      <c r="J25">
        <f t="shared" si="6"/>
        <v>7.0281695071344865</v>
      </c>
      <c r="K25">
        <f t="shared" si="7"/>
        <v>887.97540993832854</v>
      </c>
      <c r="L25">
        <f t="shared" si="2"/>
        <v>2691.0346749572018</v>
      </c>
      <c r="M25">
        <f t="shared" si="3"/>
        <v>17284255.647311401</v>
      </c>
    </row>
    <row r="26" spans="1:13" x14ac:dyDescent="0.2">
      <c r="A26">
        <v>8</v>
      </c>
      <c r="B26">
        <v>46</v>
      </c>
      <c r="C26" s="4">
        <f t="shared" si="8"/>
        <v>20.051404920676895</v>
      </c>
      <c r="D26" s="4">
        <f t="shared" si="8"/>
        <v>1.4356807596162997</v>
      </c>
      <c r="E26" s="4">
        <f t="shared" si="9"/>
        <v>31.536850997607292</v>
      </c>
      <c r="F26" s="6">
        <f t="shared" si="0"/>
        <v>-28.926298004785416</v>
      </c>
      <c r="G26" s="6">
        <f t="shared" si="1"/>
        <v>-231.41038403828333</v>
      </c>
      <c r="H26" s="2">
        <f t="shared" si="4"/>
        <v>19.982827288166963</v>
      </c>
      <c r="I26" s="2">
        <f t="shared" si="5"/>
        <v>1.2389551054598753</v>
      </c>
      <c r="J26">
        <f t="shared" si="6"/>
        <v>3.4327227559424967</v>
      </c>
      <c r="K26">
        <f t="shared" si="7"/>
        <v>776.03683054066732</v>
      </c>
      <c r="L26">
        <f t="shared" si="2"/>
        <v>2505.6042790876472</v>
      </c>
      <c r="M26">
        <f t="shared" si="3"/>
        <v>15561185.159164336</v>
      </c>
    </row>
    <row r="27" spans="1:13" x14ac:dyDescent="0.2">
      <c r="A27">
        <v>64</v>
      </c>
      <c r="B27">
        <v>158</v>
      </c>
      <c r="C27" s="4">
        <f t="shared" si="8"/>
        <v>19.982827288166963</v>
      </c>
      <c r="D27" s="4">
        <f t="shared" si="8"/>
        <v>1.2389551054598753</v>
      </c>
      <c r="E27" s="4">
        <f t="shared" si="9"/>
        <v>99.275954037598979</v>
      </c>
      <c r="F27" s="6">
        <f t="shared" si="0"/>
        <v>-117.44809192480204</v>
      </c>
      <c r="G27" s="6">
        <f t="shared" si="1"/>
        <v>-7516.6778831873307</v>
      </c>
      <c r="H27" s="2">
        <f t="shared" si="4"/>
        <v>20.126397970744868</v>
      </c>
      <c r="I27" s="2">
        <f t="shared" si="5"/>
        <v>1.2509627154851934</v>
      </c>
      <c r="J27">
        <f t="shared" si="6"/>
        <v>-8.6553587121319548</v>
      </c>
      <c r="K27">
        <f t="shared" si="7"/>
        <v>-53.2346408321323</v>
      </c>
      <c r="L27">
        <f t="shared" si="2"/>
        <v>3634.4492808565574</v>
      </c>
      <c r="M27">
        <f t="shared" si="3"/>
        <v>19655111.283207659</v>
      </c>
    </row>
    <row r="28" spans="1:13" x14ac:dyDescent="0.2">
      <c r="A28">
        <v>99</v>
      </c>
      <c r="B28">
        <v>228</v>
      </c>
      <c r="C28" s="4">
        <f t="shared" si="8"/>
        <v>20.126397970744868</v>
      </c>
      <c r="D28" s="4">
        <f t="shared" si="8"/>
        <v>1.2509627154851934</v>
      </c>
      <c r="E28" s="4">
        <f t="shared" si="9"/>
        <v>143.97170680377903</v>
      </c>
      <c r="F28" s="6">
        <f t="shared" si="0"/>
        <v>-168.05658639244194</v>
      </c>
      <c r="G28" s="6">
        <f t="shared" si="1"/>
        <v>-16637.602052851751</v>
      </c>
      <c r="H28" s="2">
        <f t="shared" si="4"/>
        <v>20.441432076278165</v>
      </c>
      <c r="I28" s="2">
        <f t="shared" si="5"/>
        <v>1.5050794245150567</v>
      </c>
      <c r="J28">
        <f t="shared" si="6"/>
        <v>-24.595481480162949</v>
      </c>
      <c r="K28">
        <f t="shared" si="7"/>
        <v>-1711.671382034094</v>
      </c>
      <c r="L28">
        <f t="shared" si="2"/>
        <v>6095.3059757589317</v>
      </c>
      <c r="M28">
        <f t="shared" si="3"/>
        <v>45370580.361792564</v>
      </c>
    </row>
    <row r="29" spans="1:13" x14ac:dyDescent="0.2">
      <c r="A29">
        <v>70</v>
      </c>
      <c r="B29">
        <v>170</v>
      </c>
      <c r="C29" s="4">
        <f t="shared" si="8"/>
        <v>20.441432076278165</v>
      </c>
      <c r="D29" s="4">
        <f t="shared" si="8"/>
        <v>1.5050794245150567</v>
      </c>
      <c r="E29" s="4">
        <f t="shared" si="9"/>
        <v>125.79699179233214</v>
      </c>
      <c r="F29" s="6">
        <f t="shared" si="0"/>
        <v>-88.406016415335728</v>
      </c>
      <c r="G29" s="6">
        <f t="shared" si="1"/>
        <v>-6188.4211490735006</v>
      </c>
      <c r="H29" s="2">
        <f t="shared" si="4"/>
        <v>20.832715352490869</v>
      </c>
      <c r="I29" s="2">
        <f t="shared" si="5"/>
        <v>1.8281872659096408</v>
      </c>
      <c r="J29">
        <f t="shared" si="6"/>
        <v>-30.976534973680224</v>
      </c>
      <c r="K29">
        <f t="shared" si="7"/>
        <v>-2159.3463587380347</v>
      </c>
      <c r="L29">
        <f t="shared" si="2"/>
        <v>6267.3377520259</v>
      </c>
      <c r="M29">
        <f t="shared" si="3"/>
        <v>44663177.957443327</v>
      </c>
    </row>
    <row r="30" spans="1:13" x14ac:dyDescent="0.2">
      <c r="A30">
        <v>27</v>
      </c>
      <c r="B30">
        <v>84</v>
      </c>
      <c r="C30" s="4">
        <f t="shared" si="8"/>
        <v>20.832715352490869</v>
      </c>
      <c r="D30" s="4">
        <f t="shared" si="8"/>
        <v>1.8281872659096408</v>
      </c>
      <c r="E30" s="4">
        <f t="shared" si="9"/>
        <v>70.193771532051173</v>
      </c>
      <c r="F30" s="6">
        <f t="shared" si="0"/>
        <v>-27.612456935897654</v>
      </c>
      <c r="G30" s="6">
        <f t="shared" si="1"/>
        <v>-745.5363372692367</v>
      </c>
      <c r="H30" s="2">
        <f t="shared" si="4"/>
        <v>21.237955264288015</v>
      </c>
      <c r="I30" s="2">
        <f t="shared" si="5"/>
        <v>2.1462535143905734</v>
      </c>
      <c r="J30">
        <f t="shared" si="6"/>
        <v>-30.640127169901966</v>
      </c>
      <c r="K30">
        <f t="shared" si="7"/>
        <v>-2017.9653565911549</v>
      </c>
      <c r="L30">
        <f t="shared" si="2"/>
        <v>5716.8487546269907</v>
      </c>
      <c r="M30">
        <f t="shared" si="3"/>
        <v>40252442.60471788</v>
      </c>
    </row>
    <row r="31" spans="1:13" x14ac:dyDescent="0.2">
      <c r="A31">
        <v>17</v>
      </c>
      <c r="B31">
        <v>64</v>
      </c>
      <c r="C31" s="4">
        <f t="shared" si="8"/>
        <v>21.237955264288015</v>
      </c>
      <c r="D31" s="4">
        <f t="shared" si="8"/>
        <v>2.1462535143905734</v>
      </c>
      <c r="E31" s="4">
        <f t="shared" si="9"/>
        <v>57.724265008927759</v>
      </c>
      <c r="F31" s="6">
        <f t="shared" si="0"/>
        <v>-12.551469982144482</v>
      </c>
      <c r="G31" s="6">
        <f t="shared" si="1"/>
        <v>-213.3749896964562</v>
      </c>
      <c r="H31" s="2">
        <f t="shared" si="4"/>
        <v>21.639283922115563</v>
      </c>
      <c r="I31" s="2">
        <f t="shared" si="5"/>
        <v>2.4515235508500766</v>
      </c>
      <c r="J31">
        <f t="shared" si="6"/>
        <v>-28.831261451126217</v>
      </c>
      <c r="K31">
        <f t="shared" si="7"/>
        <v>-1837.5063199016849</v>
      </c>
      <c r="L31">
        <f t="shared" si="2"/>
        <v>5160.9178190355588</v>
      </c>
      <c r="M31">
        <f t="shared" si="3"/>
        <v>36231751.232868895</v>
      </c>
    </row>
    <row r="32" spans="1:13" x14ac:dyDescent="0.2">
      <c r="A32">
        <v>8</v>
      </c>
      <c r="B32">
        <v>46</v>
      </c>
      <c r="C32" s="4">
        <f t="shared" si="8"/>
        <v>21.639283922115563</v>
      </c>
      <c r="D32" s="4">
        <f t="shared" si="8"/>
        <v>2.4515235508500766</v>
      </c>
      <c r="E32" s="4">
        <f t="shared" si="9"/>
        <v>41.251472328916179</v>
      </c>
      <c r="F32" s="6">
        <f t="shared" si="0"/>
        <v>-9.4970553421676414</v>
      </c>
      <c r="G32" s="6">
        <f t="shared" si="1"/>
        <v>-75.976442737341131</v>
      </c>
      <c r="H32" s="2">
        <f t="shared" si="4"/>
        <v>22.033569998997343</v>
      </c>
      <c r="I32" s="2">
        <f t="shared" si="5"/>
        <v>2.7424560551408117</v>
      </c>
      <c r="J32">
        <f t="shared" si="6"/>
        <v>-26.897840840230362</v>
      </c>
      <c r="K32">
        <f t="shared" si="7"/>
        <v>-1661.3533321852508</v>
      </c>
      <c r="L32">
        <f t="shared" si="2"/>
        <v>4653.8454431492228</v>
      </c>
      <c r="M32">
        <f t="shared" si="3"/>
        <v>32609153.351567108</v>
      </c>
    </row>
    <row r="33" spans="1:15" x14ac:dyDescent="0.2">
      <c r="A33" s="6"/>
      <c r="B33" s="6"/>
      <c r="H33" s="2"/>
      <c r="J33">
        <v>-30.910038463058026</v>
      </c>
      <c r="K33">
        <v>-1900.969083238002</v>
      </c>
      <c r="L33" s="6">
        <v>4984.9875982417034</v>
      </c>
      <c r="M33" s="6">
        <v>33559563.146017753</v>
      </c>
      <c r="O33"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dam_ann"/>
  <dimension ref="A1:O34"/>
  <sheetViews>
    <sheetView tabSelected="1" zoomScale="120" zoomScaleNormal="130" workbookViewId="0">
      <pane xSplit="3" ySplit="3" topLeftCell="D4" activePane="bottomRight" state="frozen"/>
      <selection pane="topRight" activeCell="D1" sqref="D1"/>
      <selection pane="bottomLeft" activeCell="A4" sqref="A4"/>
      <selection pane="bottomRight" activeCell="L8" sqref="L8"/>
    </sheetView>
  </sheetViews>
  <sheetFormatPr baseColWidth="10" defaultColWidth="8.83203125" defaultRowHeight="15" x14ac:dyDescent="0.2"/>
  <cols>
    <col min="3" max="3" width="8.83203125" style="4" customWidth="1"/>
    <col min="4" max="4" width="10.83203125" style="4" bestFit="1" customWidth="1"/>
    <col min="5" max="5" width="9.1640625" style="4" bestFit="1" customWidth="1"/>
    <col min="6" max="6" width="10.83203125" style="6" bestFit="1" customWidth="1"/>
    <col min="7" max="7" width="10.1640625" style="6" bestFit="1" customWidth="1"/>
    <col min="8" max="8" width="8.33203125" bestFit="1" customWidth="1"/>
    <col min="9" max="9" width="5.83203125" bestFit="1" customWidth="1"/>
    <col min="10" max="11" width="6.5" customWidth="1"/>
    <col min="12" max="12" width="8.33203125" customWidth="1"/>
    <col min="13" max="13" width="13.1640625" customWidth="1"/>
    <col min="14" max="14" width="8.33203125" customWidth="1"/>
  </cols>
  <sheetData>
    <row r="1" spans="1:15" x14ac:dyDescent="0.2">
      <c r="B1" t="s">
        <v>21</v>
      </c>
      <c r="C1" s="4">
        <v>26.81435138572121</v>
      </c>
      <c r="D1" s="4" t="s">
        <v>14</v>
      </c>
      <c r="I1" t="s">
        <v>24</v>
      </c>
      <c r="J1">
        <v>0.9</v>
      </c>
      <c r="K1">
        <f>1-J1</f>
        <v>9.9999999999999978E-2</v>
      </c>
      <c r="L1">
        <v>0.95</v>
      </c>
      <c r="M1">
        <f>1-L1</f>
        <v>5.0000000000000044E-2</v>
      </c>
    </row>
    <row r="2" spans="1:15" x14ac:dyDescent="0.2">
      <c r="B2" t="s">
        <v>22</v>
      </c>
      <c r="C2" s="4">
        <v>3.105490087431146</v>
      </c>
      <c r="D2">
        <v>0.25</v>
      </c>
      <c r="F2" s="8"/>
      <c r="G2" s="8"/>
    </row>
    <row r="3" spans="1:15" s="1" customFormat="1" x14ac:dyDescent="0.2">
      <c r="A3" s="1" t="s">
        <v>15</v>
      </c>
      <c r="B3" s="1" t="s">
        <v>16</v>
      </c>
      <c r="C3" s="5" t="s">
        <v>21</v>
      </c>
      <c r="D3" s="5" t="s">
        <v>22</v>
      </c>
      <c r="E3" s="5" t="s">
        <v>18</v>
      </c>
      <c r="F3" s="7" t="s">
        <v>6</v>
      </c>
      <c r="G3" s="7" t="s">
        <v>9</v>
      </c>
      <c r="H3" s="1" t="s">
        <v>13</v>
      </c>
      <c r="I3" s="1" t="s">
        <v>12</v>
      </c>
      <c r="J3">
        <f>J33</f>
        <v>-15.380836588601925</v>
      </c>
      <c r="K3">
        <f>K33</f>
        <v>-1240.4305034588485</v>
      </c>
      <c r="L3">
        <f>L33</f>
        <v>2270.7281101012391</v>
      </c>
      <c r="M3">
        <f>M33</f>
        <v>12840632.920516655</v>
      </c>
      <c r="N3" s="3">
        <v>1556.3141095749168</v>
      </c>
      <c r="O3" s="3"/>
    </row>
    <row r="4" spans="1:15" x14ac:dyDescent="0.2">
      <c r="A4">
        <v>14</v>
      </c>
      <c r="B4">
        <v>58</v>
      </c>
      <c r="C4" s="2">
        <f>C1</f>
        <v>26.81435138572121</v>
      </c>
      <c r="D4" s="2">
        <f>C2</f>
        <v>3.105490087431146</v>
      </c>
      <c r="E4" s="2">
        <f>C4+D4*A4</f>
        <v>70.291212609757252</v>
      </c>
      <c r="F4" s="6">
        <f t="shared" ref="F4:F32" si="0">2*(D4*A4+C4-B4)</f>
        <v>24.582425219514505</v>
      </c>
      <c r="G4" s="6">
        <f t="shared" ref="G4:G32" si="1">F4*A4</f>
        <v>344.15395307320307</v>
      </c>
      <c r="H4" s="2">
        <f>C4-J4*$D$2/SQRT(L4)</f>
        <v>26.875205454270134</v>
      </c>
      <c r="I4" s="2">
        <f>D4-K4*$D$2/SQRT(M4)</f>
        <v>3.1829176596809976</v>
      </c>
      <c r="J4">
        <f>J3*$J$1+$K$1*F4</f>
        <v>-11.384510407790284</v>
      </c>
      <c r="K4">
        <f>K3*$J$1+$K$1*G4</f>
        <v>-1081.9720578056433</v>
      </c>
      <c r="L4">
        <f t="shared" ref="L4:M19" si="2">L3*$L$1+$M$1*F4^2</f>
        <v>2187.406486079828</v>
      </c>
      <c r="M4">
        <f t="shared" si="2"/>
        <v>12204523.371661618</v>
      </c>
    </row>
    <row r="5" spans="1:15" x14ac:dyDescent="0.2">
      <c r="A5">
        <v>86</v>
      </c>
      <c r="B5">
        <v>202</v>
      </c>
      <c r="C5" s="2">
        <f>H4</f>
        <v>26.875205454270134</v>
      </c>
      <c r="D5" s="2">
        <f>I4</f>
        <v>3.1829176596809976</v>
      </c>
      <c r="E5" s="2">
        <f>C5+D5*A5</f>
        <v>300.60612418683593</v>
      </c>
      <c r="F5" s="6">
        <f t="shared" si="0"/>
        <v>197.21224837367186</v>
      </c>
      <c r="G5" s="6">
        <f t="shared" si="1"/>
        <v>16960.253360135779</v>
      </c>
      <c r="H5" s="2">
        <f t="shared" ref="H5:I32" si="3">C5-J5*$D$2/SQRT(L5)</f>
        <v>26.837857258707452</v>
      </c>
      <c r="I5" s="2">
        <f t="shared" si="3"/>
        <v>3.1474906115657943</v>
      </c>
      <c r="J5">
        <f t="shared" ref="J5:K20" si="4">J4*$J$1+$K$1*F5</f>
        <v>9.4751654703559254</v>
      </c>
      <c r="K5">
        <f t="shared" si="4"/>
        <v>722.25048398849856</v>
      </c>
      <c r="L5">
        <f t="shared" si="2"/>
        <v>4022.6697072057805</v>
      </c>
      <c r="M5">
        <f t="shared" si="2"/>
        <v>25976806.905078396</v>
      </c>
    </row>
    <row r="6" spans="1:15" x14ac:dyDescent="0.2">
      <c r="A6">
        <v>28</v>
      </c>
      <c r="B6">
        <v>86</v>
      </c>
      <c r="C6" s="2">
        <f>H5</f>
        <v>26.837857258707452</v>
      </c>
      <c r="D6" s="2">
        <f>I5</f>
        <v>3.1474906115657943</v>
      </c>
      <c r="E6" s="2">
        <f>C6+D6*A6</f>
        <v>114.96759438254969</v>
      </c>
      <c r="F6" s="6">
        <f t="shared" si="0"/>
        <v>57.935188765099383</v>
      </c>
      <c r="G6" s="6">
        <f t="shared" si="1"/>
        <v>1622.1852854227827</v>
      </c>
      <c r="H6" s="2">
        <f t="shared" si="3"/>
        <v>26.78117243517633</v>
      </c>
      <c r="I6" s="2">
        <f t="shared" si="3"/>
        <v>3.1067228244690845</v>
      </c>
      <c r="J6">
        <f t="shared" si="4"/>
        <v>14.32116779983027</v>
      </c>
      <c r="K6">
        <f t="shared" si="4"/>
        <v>812.24396413192699</v>
      </c>
      <c r="L6">
        <f t="shared" si="2"/>
        <v>3989.360526707876</v>
      </c>
      <c r="M6">
        <f t="shared" si="2"/>
        <v>24809540.814836584</v>
      </c>
    </row>
    <row r="7" spans="1:15" x14ac:dyDescent="0.2">
      <c r="A7">
        <v>51</v>
      </c>
      <c r="B7">
        <v>132</v>
      </c>
      <c r="C7" s="2">
        <f t="shared" ref="C7:D32" si="5">H6</f>
        <v>26.78117243517633</v>
      </c>
      <c r="D7" s="2">
        <f t="shared" si="5"/>
        <v>3.1067228244690845</v>
      </c>
      <c r="E7" s="2">
        <f t="shared" ref="E7:E32" si="6">C7+D7*A7</f>
        <v>185.22403648309964</v>
      </c>
      <c r="F7" s="6">
        <f t="shared" si="0"/>
        <v>106.44807296619928</v>
      </c>
      <c r="G7" s="6">
        <f t="shared" si="1"/>
        <v>5428.8517212761635</v>
      </c>
      <c r="H7" s="2">
        <f t="shared" si="3"/>
        <v>26.692033658230383</v>
      </c>
      <c r="I7" s="2">
        <f t="shared" si="3"/>
        <v>3.0430818949800766</v>
      </c>
      <c r="J7">
        <f t="shared" si="4"/>
        <v>23.533858316467168</v>
      </c>
      <c r="K7">
        <f t="shared" si="4"/>
        <v>1273.9047398463504</v>
      </c>
      <c r="L7">
        <f t="shared" si="2"/>
        <v>4356.4521122833467</v>
      </c>
      <c r="M7">
        <f t="shared" si="2"/>
        <v>25042685.324674912</v>
      </c>
    </row>
    <row r="8" spans="1:15" x14ac:dyDescent="0.2">
      <c r="A8">
        <v>28</v>
      </c>
      <c r="B8">
        <v>86</v>
      </c>
      <c r="C8" s="2">
        <f t="shared" si="5"/>
        <v>26.692033658230383</v>
      </c>
      <c r="D8" s="2">
        <f t="shared" si="5"/>
        <v>3.0430818949800766</v>
      </c>
      <c r="E8" s="2">
        <f t="shared" si="6"/>
        <v>111.89832671767253</v>
      </c>
      <c r="F8" s="6">
        <f t="shared" si="0"/>
        <v>51.796653435345064</v>
      </c>
      <c r="G8" s="6">
        <f t="shared" si="1"/>
        <v>1450.3062961896617</v>
      </c>
      <c r="H8" s="2">
        <f t="shared" si="3"/>
        <v>26.591216903030617</v>
      </c>
      <c r="I8" s="2">
        <f t="shared" si="3"/>
        <v>2.9770293658469473</v>
      </c>
      <c r="J8">
        <f t="shared" si="4"/>
        <v>26.360137828354958</v>
      </c>
      <c r="K8">
        <f t="shared" si="4"/>
        <v>1291.5448954806816</v>
      </c>
      <c r="L8">
        <f t="shared" si="2"/>
        <v>4272.7741720242411</v>
      </c>
      <c r="M8">
        <f t="shared" si="2"/>
        <v>23895720.476079535</v>
      </c>
    </row>
    <row r="9" spans="1:15" x14ac:dyDescent="0.2">
      <c r="A9">
        <v>29</v>
      </c>
      <c r="B9">
        <v>88</v>
      </c>
      <c r="C9" s="2">
        <f t="shared" si="5"/>
        <v>26.591216903030617</v>
      </c>
      <c r="D9" s="2">
        <f t="shared" si="5"/>
        <v>2.9770293658469473</v>
      </c>
      <c r="E9" s="2">
        <f t="shared" si="6"/>
        <v>112.92506851259209</v>
      </c>
      <c r="F9" s="6">
        <f t="shared" si="0"/>
        <v>49.850137025184182</v>
      </c>
      <c r="G9" s="6">
        <f t="shared" si="1"/>
        <v>1445.6539737303412</v>
      </c>
      <c r="H9" s="2">
        <f t="shared" si="3"/>
        <v>26.480249321131858</v>
      </c>
      <c r="I9" s="2">
        <f t="shared" si="3"/>
        <v>2.9086095697811776</v>
      </c>
      <c r="J9">
        <f t="shared" si="4"/>
        <v>28.709137748037882</v>
      </c>
      <c r="K9">
        <f t="shared" si="4"/>
        <v>1306.9558033056476</v>
      </c>
      <c r="L9">
        <f t="shared" si="2"/>
        <v>4183.387271494511</v>
      </c>
      <c r="M9">
        <f t="shared" si="2"/>
        <v>22805430.22286367</v>
      </c>
    </row>
    <row r="10" spans="1:15" x14ac:dyDescent="0.2">
      <c r="A10">
        <v>72</v>
      </c>
      <c r="B10">
        <v>174</v>
      </c>
      <c r="C10" s="2">
        <f t="shared" si="5"/>
        <v>26.480249321131858</v>
      </c>
      <c r="D10" s="2">
        <f t="shared" si="5"/>
        <v>2.9086095697811776</v>
      </c>
      <c r="E10" s="2">
        <f t="shared" si="6"/>
        <v>235.90013834537663</v>
      </c>
      <c r="F10" s="6">
        <f t="shared" si="0"/>
        <v>123.80027669075326</v>
      </c>
      <c r="G10" s="6">
        <f t="shared" si="1"/>
        <v>8913.6199217342346</v>
      </c>
      <c r="H10" s="2">
        <f t="shared" si="3"/>
        <v>26.341478945485921</v>
      </c>
      <c r="I10" s="2">
        <f t="shared" si="3"/>
        <v>2.8065224601687708</v>
      </c>
      <c r="J10">
        <f t="shared" si="4"/>
        <v>38.218251642309419</v>
      </c>
      <c r="K10">
        <f t="shared" si="4"/>
        <v>2067.6222151485063</v>
      </c>
      <c r="L10">
        <f t="shared" si="2"/>
        <v>4740.5433333551391</v>
      </c>
      <c r="M10">
        <f t="shared" si="2"/>
        <v>25637789.717177361</v>
      </c>
    </row>
    <row r="11" spans="1:15" x14ac:dyDescent="0.2">
      <c r="A11">
        <v>62</v>
      </c>
      <c r="B11">
        <v>154</v>
      </c>
      <c r="C11" s="2">
        <f t="shared" si="5"/>
        <v>26.341478945485921</v>
      </c>
      <c r="D11" s="2">
        <f t="shared" si="5"/>
        <v>2.8065224601687708</v>
      </c>
      <c r="E11" s="2">
        <f t="shared" si="6"/>
        <v>200.34587147594974</v>
      </c>
      <c r="F11" s="6">
        <f t="shared" si="0"/>
        <v>92.691742951899471</v>
      </c>
      <c r="G11" s="6">
        <f t="shared" si="1"/>
        <v>5746.8880630177673</v>
      </c>
      <c r="H11" s="2">
        <f t="shared" si="3"/>
        <v>26.186054506955802</v>
      </c>
      <c r="I11" s="2">
        <f t="shared" si="3"/>
        <v>2.6871264698358361</v>
      </c>
      <c r="J11">
        <f t="shared" si="4"/>
        <v>43.665600773268423</v>
      </c>
      <c r="K11">
        <f t="shared" si="4"/>
        <v>2435.5487999354323</v>
      </c>
      <c r="L11">
        <f t="shared" si="2"/>
        <v>4933.1041272604325</v>
      </c>
      <c r="M11">
        <f t="shared" si="2"/>
        <v>26007236.3517613</v>
      </c>
    </row>
    <row r="12" spans="1:15" x14ac:dyDescent="0.2">
      <c r="A12">
        <v>84</v>
      </c>
      <c r="B12">
        <v>198</v>
      </c>
      <c r="C12" s="2">
        <f t="shared" si="5"/>
        <v>26.186054506955802</v>
      </c>
      <c r="D12" s="2">
        <f t="shared" si="5"/>
        <v>2.6871264698358361</v>
      </c>
      <c r="E12" s="2">
        <f t="shared" si="6"/>
        <v>251.90467797316603</v>
      </c>
      <c r="F12" s="6">
        <f t="shared" si="0"/>
        <v>107.80935594633206</v>
      </c>
      <c r="G12" s="6">
        <f t="shared" si="1"/>
        <v>9055.9858994918941</v>
      </c>
      <c r="H12" s="2">
        <f t="shared" si="3"/>
        <v>26.01355094481988</v>
      </c>
      <c r="I12" s="2">
        <f t="shared" si="3"/>
        <v>2.5428444801468113</v>
      </c>
      <c r="J12">
        <f t="shared" si="4"/>
        <v>50.079976290574791</v>
      </c>
      <c r="K12">
        <f t="shared" si="4"/>
        <v>3097.5925098910784</v>
      </c>
      <c r="L12">
        <f t="shared" si="2"/>
        <v>5267.5917823755581</v>
      </c>
      <c r="M12">
        <f t="shared" si="2"/>
        <v>28807418.564763039</v>
      </c>
    </row>
    <row r="13" spans="1:15" x14ac:dyDescent="0.2">
      <c r="A13">
        <v>15</v>
      </c>
      <c r="B13">
        <v>60</v>
      </c>
      <c r="C13" s="2">
        <f t="shared" si="5"/>
        <v>26.01355094481988</v>
      </c>
      <c r="D13" s="2">
        <f t="shared" si="5"/>
        <v>2.5428444801468113</v>
      </c>
      <c r="E13" s="2">
        <f t="shared" si="6"/>
        <v>64.156218147022045</v>
      </c>
      <c r="F13" s="6">
        <f t="shared" si="0"/>
        <v>8.3124362940440903</v>
      </c>
      <c r="G13" s="6">
        <f t="shared" si="1"/>
        <v>124.68654441066136</v>
      </c>
      <c r="H13" s="2">
        <f t="shared" si="3"/>
        <v>25.851382833057553</v>
      </c>
      <c r="I13" s="2">
        <f t="shared" si="3"/>
        <v>2.4090233405447781</v>
      </c>
      <c r="J13">
        <f t="shared" si="4"/>
        <v>45.903222290921725</v>
      </c>
      <c r="K13">
        <f t="shared" si="4"/>
        <v>2800.3019133430366</v>
      </c>
      <c r="L13">
        <f t="shared" si="2"/>
        <v>5007.6670231139069</v>
      </c>
      <c r="M13">
        <f t="shared" si="2"/>
        <v>27367824.973242741</v>
      </c>
    </row>
    <row r="14" spans="1:15" x14ac:dyDescent="0.2">
      <c r="A14">
        <v>42</v>
      </c>
      <c r="B14">
        <v>114</v>
      </c>
      <c r="C14" s="2">
        <f t="shared" si="5"/>
        <v>25.851382833057553</v>
      </c>
      <c r="D14" s="2">
        <f t="shared" si="5"/>
        <v>2.4090233405447781</v>
      </c>
      <c r="E14" s="2">
        <f t="shared" si="6"/>
        <v>127.03036313593823</v>
      </c>
      <c r="F14" s="6">
        <f t="shared" si="0"/>
        <v>26.060726271876462</v>
      </c>
      <c r="G14" s="6">
        <f t="shared" si="1"/>
        <v>1094.5505034188113</v>
      </c>
      <c r="H14" s="2">
        <f t="shared" si="3"/>
        <v>25.692759109760555</v>
      </c>
      <c r="I14" s="2">
        <f t="shared" si="3"/>
        <v>2.2802372482872837</v>
      </c>
      <c r="J14">
        <f t="shared" si="4"/>
        <v>43.918972689017195</v>
      </c>
      <c r="K14">
        <f t="shared" si="4"/>
        <v>2629.7267723506138</v>
      </c>
      <c r="L14">
        <f t="shared" si="2"/>
        <v>4791.2417446490945</v>
      </c>
      <c r="M14">
        <f t="shared" si="2"/>
        <v>26059335.764807325</v>
      </c>
    </row>
    <row r="15" spans="1:15" x14ac:dyDescent="0.2">
      <c r="A15">
        <v>62</v>
      </c>
      <c r="B15">
        <v>154</v>
      </c>
      <c r="C15" s="2">
        <f t="shared" si="5"/>
        <v>25.692759109760555</v>
      </c>
      <c r="D15" s="2">
        <f>I14</f>
        <v>2.2802372482872837</v>
      </c>
      <c r="E15" s="2">
        <f t="shared" si="6"/>
        <v>167.06746850357214</v>
      </c>
      <c r="F15" s="6">
        <f t="shared" si="0"/>
        <v>26.134937007144288</v>
      </c>
      <c r="G15" s="6">
        <f t="shared" si="1"/>
        <v>1620.3660944429457</v>
      </c>
      <c r="H15" s="2">
        <f t="shared" si="3"/>
        <v>25.537187135448505</v>
      </c>
      <c r="I15" s="2">
        <f t="shared" si="3"/>
        <v>2.1535126378796674</v>
      </c>
      <c r="J15">
        <f t="shared" si="4"/>
        <v>42.140569120829909</v>
      </c>
      <c r="K15">
        <f t="shared" si="4"/>
        <v>2528.7907045598467</v>
      </c>
      <c r="L15">
        <f t="shared" si="2"/>
        <v>4585.8314040350097</v>
      </c>
      <c r="M15">
        <f t="shared" si="2"/>
        <v>24887648.290567972</v>
      </c>
    </row>
    <row r="16" spans="1:15" x14ac:dyDescent="0.2">
      <c r="A16">
        <v>47</v>
      </c>
      <c r="B16">
        <v>124</v>
      </c>
      <c r="C16" s="2">
        <f t="shared" si="5"/>
        <v>25.537187135448505</v>
      </c>
      <c r="D16" s="2">
        <f t="shared" si="5"/>
        <v>2.1535126378796674</v>
      </c>
      <c r="E16" s="2">
        <f t="shared" si="6"/>
        <v>126.75228111579287</v>
      </c>
      <c r="F16" s="6">
        <f t="shared" si="0"/>
        <v>5.5045622315857372</v>
      </c>
      <c r="G16" s="6">
        <f t="shared" si="1"/>
        <v>258.71442488452965</v>
      </c>
      <c r="H16" s="2">
        <f t="shared" si="3"/>
        <v>25.391475406951109</v>
      </c>
      <c r="I16" s="2">
        <f t="shared" si="3"/>
        <v>2.0351758071986112</v>
      </c>
      <c r="J16">
        <f t="shared" si="4"/>
        <v>38.476968431905497</v>
      </c>
      <c r="K16">
        <f t="shared" si="4"/>
        <v>2301.783076592315</v>
      </c>
      <c r="L16">
        <f t="shared" si="2"/>
        <v>4358.0548441013289</v>
      </c>
      <c r="M16">
        <f t="shared" si="2"/>
        <v>23646612.533721738</v>
      </c>
    </row>
    <row r="17" spans="1:13" x14ac:dyDescent="0.2">
      <c r="A17">
        <v>35</v>
      </c>
      <c r="B17">
        <v>100</v>
      </c>
      <c r="C17" s="2">
        <f t="shared" si="5"/>
        <v>25.391475406951109</v>
      </c>
      <c r="D17" s="2">
        <f t="shared" si="5"/>
        <v>2.0351758071986112</v>
      </c>
      <c r="E17" s="2">
        <f t="shared" si="6"/>
        <v>96.622628658902499</v>
      </c>
      <c r="F17" s="6">
        <f t="shared" si="0"/>
        <v>-6.7547426821950012</v>
      </c>
      <c r="G17" s="6">
        <f t="shared" si="1"/>
        <v>-236.41599387682504</v>
      </c>
      <c r="H17" s="2">
        <f t="shared" si="3"/>
        <v>25.259588831475991</v>
      </c>
      <c r="I17" s="2">
        <f t="shared" si="3"/>
        <v>1.9271596137678675</v>
      </c>
      <c r="J17">
        <f t="shared" si="4"/>
        <v>33.953797320495447</v>
      </c>
      <c r="K17">
        <f t="shared" si="4"/>
        <v>2047.9631695454011</v>
      </c>
      <c r="L17">
        <f t="shared" si="2"/>
        <v>4142.4334293313959</v>
      </c>
      <c r="M17">
        <f t="shared" si="2"/>
        <v>22467076.533143688</v>
      </c>
    </row>
    <row r="18" spans="1:13" x14ac:dyDescent="0.2">
      <c r="A18">
        <v>9</v>
      </c>
      <c r="B18">
        <v>48</v>
      </c>
      <c r="C18" s="2">
        <f t="shared" si="5"/>
        <v>25.259588831475991</v>
      </c>
      <c r="D18" s="2">
        <f t="shared" si="5"/>
        <v>1.9271596137678675</v>
      </c>
      <c r="E18" s="2">
        <f t="shared" si="6"/>
        <v>42.604025355386796</v>
      </c>
      <c r="F18" s="6">
        <f t="shared" si="0"/>
        <v>-10.791949289226409</v>
      </c>
      <c r="G18" s="6">
        <f t="shared" si="1"/>
        <v>-97.12754360303768</v>
      </c>
      <c r="H18" s="2">
        <f t="shared" si="3"/>
        <v>25.142194973133037</v>
      </c>
      <c r="I18" s="2">
        <f t="shared" si="3"/>
        <v>1.8279462518139755</v>
      </c>
      <c r="J18">
        <f t="shared" si="4"/>
        <v>29.479222659523263</v>
      </c>
      <c r="K18">
        <f t="shared" si="4"/>
        <v>1833.4540982305573</v>
      </c>
      <c r="L18">
        <f t="shared" si="2"/>
        <v>3941.1350663378876</v>
      </c>
      <c r="M18">
        <f t="shared" si="2"/>
        <v>21344194.394472819</v>
      </c>
    </row>
    <row r="19" spans="1:13" x14ac:dyDescent="0.2">
      <c r="A19">
        <v>38</v>
      </c>
      <c r="B19">
        <v>106</v>
      </c>
      <c r="C19" s="2">
        <f t="shared" si="5"/>
        <v>25.142194973133037</v>
      </c>
      <c r="D19" s="2">
        <f t="shared" si="5"/>
        <v>1.8279462518139755</v>
      </c>
      <c r="E19" s="2">
        <f t="shared" si="6"/>
        <v>94.604152542064099</v>
      </c>
      <c r="F19" s="6">
        <f t="shared" si="0"/>
        <v>-22.791694915871801</v>
      </c>
      <c r="G19" s="6">
        <f t="shared" si="1"/>
        <v>-866.08440680312845</v>
      </c>
      <c r="H19" s="2">
        <f t="shared" si="3"/>
        <v>25.04344970855243</v>
      </c>
      <c r="I19" s="2">
        <f t="shared" si="3"/>
        <v>1.7412231099289288</v>
      </c>
      <c r="J19">
        <f t="shared" si="4"/>
        <v>24.252130901983758</v>
      </c>
      <c r="K19">
        <f t="shared" si="4"/>
        <v>1563.5002477271887</v>
      </c>
      <c r="L19">
        <f t="shared" si="2"/>
        <v>3770.0513808779019</v>
      </c>
      <c r="M19">
        <f t="shared" si="2"/>
        <v>20314489.784734555</v>
      </c>
    </row>
    <row r="20" spans="1:13" x14ac:dyDescent="0.2">
      <c r="A20">
        <v>44</v>
      </c>
      <c r="B20">
        <v>118</v>
      </c>
      <c r="C20" s="2">
        <f t="shared" si="5"/>
        <v>25.04344970855243</v>
      </c>
      <c r="D20" s="2">
        <f t="shared" si="5"/>
        <v>1.7412231099289288</v>
      </c>
      <c r="E20" s="2">
        <f t="shared" si="6"/>
        <v>101.6572665454253</v>
      </c>
      <c r="F20" s="6">
        <f t="shared" si="0"/>
        <v>-32.685466909149397</v>
      </c>
      <c r="G20" s="6">
        <f t="shared" si="1"/>
        <v>-1438.1605440025735</v>
      </c>
      <c r="H20" s="2">
        <f t="shared" si="3"/>
        <v>24.966495974261921</v>
      </c>
      <c r="I20" s="2">
        <f t="shared" si="3"/>
        <v>1.669520827585679</v>
      </c>
      <c r="J20">
        <f t="shared" si="4"/>
        <v>18.558371120870444</v>
      </c>
      <c r="K20">
        <f t="shared" si="4"/>
        <v>1263.3341685542125</v>
      </c>
      <c r="L20">
        <f t="shared" ref="L20:M32" si="7">L19*$L$1+$M$1*F20^2</f>
        <v>3634.9657991874619</v>
      </c>
      <c r="M20">
        <f t="shared" si="7"/>
        <v>19402180.583014116</v>
      </c>
    </row>
    <row r="21" spans="1:13" x14ac:dyDescent="0.2">
      <c r="A21">
        <v>99</v>
      </c>
      <c r="B21">
        <v>228</v>
      </c>
      <c r="C21" s="2">
        <f t="shared" si="5"/>
        <v>24.966495974261921</v>
      </c>
      <c r="D21" s="2">
        <f t="shared" si="5"/>
        <v>1.669520827585679</v>
      </c>
      <c r="E21" s="2">
        <f t="shared" si="6"/>
        <v>190.24905790524414</v>
      </c>
      <c r="F21" s="6">
        <f t="shared" si="0"/>
        <v>-75.501884189511713</v>
      </c>
      <c r="G21" s="6">
        <f t="shared" si="1"/>
        <v>-7474.6865347616595</v>
      </c>
      <c r="H21" s="2">
        <f t="shared" si="3"/>
        <v>24.929072975680402</v>
      </c>
      <c r="I21" s="2">
        <f t="shared" si="3"/>
        <v>1.6483833538058434</v>
      </c>
      <c r="J21">
        <f t="shared" ref="J21:K32" si="8">J20*$J$1+$K$1*F21</f>
        <v>9.1523455898322297</v>
      </c>
      <c r="K21">
        <f t="shared" si="8"/>
        <v>389.53209822262545</v>
      </c>
      <c r="L21">
        <f t="shared" si="7"/>
        <v>3738.2442350364108</v>
      </c>
      <c r="M21">
        <f t="shared" si="7"/>
        <v>21225618.493510775</v>
      </c>
    </row>
    <row r="22" spans="1:13" x14ac:dyDescent="0.2">
      <c r="A22">
        <v>13</v>
      </c>
      <c r="B22">
        <v>56</v>
      </c>
      <c r="C22" s="2">
        <f t="shared" si="5"/>
        <v>24.929072975680402</v>
      </c>
      <c r="D22" s="2">
        <f t="shared" si="5"/>
        <v>1.6483833538058434</v>
      </c>
      <c r="E22" s="2">
        <f t="shared" si="6"/>
        <v>46.358056575156368</v>
      </c>
      <c r="F22" s="6">
        <f t="shared" si="0"/>
        <v>-19.283886849687264</v>
      </c>
      <c r="G22" s="6">
        <f t="shared" si="1"/>
        <v>-250.69052904593443</v>
      </c>
      <c r="H22" s="2">
        <f t="shared" si="3"/>
        <v>24.902676141153858</v>
      </c>
      <c r="I22" s="2">
        <f t="shared" si="3"/>
        <v>1.6302625145307064</v>
      </c>
      <c r="J22">
        <f t="shared" si="8"/>
        <v>6.3087223458802812</v>
      </c>
      <c r="K22">
        <f t="shared" si="8"/>
        <v>325.50983549576949</v>
      </c>
      <c r="L22">
        <f t="shared" si="7"/>
        <v>3569.9254378861669</v>
      </c>
      <c r="M22">
        <f t="shared" si="7"/>
        <v>20167479.855902903</v>
      </c>
    </row>
    <row r="23" spans="1:13" x14ac:dyDescent="0.2">
      <c r="A23">
        <v>21</v>
      </c>
      <c r="B23">
        <v>72</v>
      </c>
      <c r="C23" s="2">
        <f t="shared" si="5"/>
        <v>24.902676141153858</v>
      </c>
      <c r="D23" s="2">
        <f t="shared" si="5"/>
        <v>1.6302625145307064</v>
      </c>
      <c r="E23" s="2">
        <f t="shared" si="6"/>
        <v>59.138188946298698</v>
      </c>
      <c r="F23" s="6">
        <f t="shared" si="0"/>
        <v>-25.723622107402605</v>
      </c>
      <c r="G23" s="6">
        <f t="shared" si="1"/>
        <v>-540.19606425545476</v>
      </c>
      <c r="H23" s="2">
        <f t="shared" si="3"/>
        <v>24.889409213782589</v>
      </c>
      <c r="I23" s="2">
        <f t="shared" si="3"/>
        <v>1.6166206236013521</v>
      </c>
      <c r="J23">
        <f t="shared" si="8"/>
        <v>3.1054879005519931</v>
      </c>
      <c r="K23">
        <f t="shared" si="8"/>
        <v>238.93924552064709</v>
      </c>
      <c r="L23">
        <f t="shared" si="7"/>
        <v>3424.514402708081</v>
      </c>
      <c r="M23">
        <f t="shared" si="7"/>
        <v>19173696.452499609</v>
      </c>
    </row>
    <row r="24" spans="1:13" x14ac:dyDescent="0.2">
      <c r="A24">
        <v>28</v>
      </c>
      <c r="B24">
        <v>86</v>
      </c>
      <c r="C24" s="2">
        <f t="shared" si="5"/>
        <v>24.889409213782589</v>
      </c>
      <c r="D24" s="2">
        <f t="shared" si="5"/>
        <v>1.6166206236013521</v>
      </c>
      <c r="E24" s="2">
        <f t="shared" si="6"/>
        <v>70.154786674620439</v>
      </c>
      <c r="F24" s="6">
        <f t="shared" si="0"/>
        <v>-31.690426650759122</v>
      </c>
      <c r="G24" s="6">
        <f t="shared" si="1"/>
        <v>-887.33194622125541</v>
      </c>
      <c r="H24" s="2">
        <f t="shared" si="3"/>
        <v>24.891036427142005</v>
      </c>
      <c r="I24" s="2">
        <f t="shared" si="3"/>
        <v>1.609229652283156</v>
      </c>
      <c r="J24">
        <f t="shared" si="8"/>
        <v>-0.37410355457911759</v>
      </c>
      <c r="K24">
        <f t="shared" si="8"/>
        <v>126.31212634645686</v>
      </c>
      <c r="L24">
        <f t="shared" si="7"/>
        <v>3303.5028396380339</v>
      </c>
      <c r="M24">
        <f t="shared" si="7"/>
        <v>18254379.529013868</v>
      </c>
    </row>
    <row r="25" spans="1:13" x14ac:dyDescent="0.2">
      <c r="A25">
        <v>20</v>
      </c>
      <c r="B25">
        <v>70</v>
      </c>
      <c r="C25" s="2">
        <f t="shared" si="5"/>
        <v>24.891036427142005</v>
      </c>
      <c r="D25" s="2">
        <f t="shared" si="5"/>
        <v>1.609229652283156</v>
      </c>
      <c r="E25" s="2">
        <f t="shared" si="6"/>
        <v>57.075629472805126</v>
      </c>
      <c r="F25" s="6">
        <f t="shared" si="0"/>
        <v>-25.848741054389748</v>
      </c>
      <c r="G25" s="6">
        <f t="shared" si="1"/>
        <v>-516.97482108779491</v>
      </c>
      <c r="H25" s="2">
        <f t="shared" si="3"/>
        <v>24.904005454849663</v>
      </c>
      <c r="I25" s="2">
        <f t="shared" si="3"/>
        <v>1.6055099942089592</v>
      </c>
      <c r="J25">
        <f t="shared" si="8"/>
        <v>-2.9215673045601798</v>
      </c>
      <c r="K25">
        <f t="shared" si="8"/>
        <v>61.983431603031704</v>
      </c>
      <c r="L25">
        <f t="shared" si="7"/>
        <v>3171.7355683609767</v>
      </c>
      <c r="M25">
        <f t="shared" si="7"/>
        <v>17355023.700845115</v>
      </c>
    </row>
    <row r="26" spans="1:13" x14ac:dyDescent="0.2">
      <c r="A26">
        <v>8</v>
      </c>
      <c r="B26">
        <v>46</v>
      </c>
      <c r="C26" s="2">
        <f t="shared" si="5"/>
        <v>24.904005454849663</v>
      </c>
      <c r="D26" s="2">
        <f t="shared" si="5"/>
        <v>1.6055099942089592</v>
      </c>
      <c r="E26" s="2">
        <f t="shared" si="6"/>
        <v>37.748085408521334</v>
      </c>
      <c r="F26" s="6">
        <f t="shared" si="0"/>
        <v>-16.503829182957332</v>
      </c>
      <c r="G26" s="6">
        <f t="shared" si="1"/>
        <v>-132.03063346365866</v>
      </c>
      <c r="H26" s="2">
        <f t="shared" si="3"/>
        <v>24.923453380425929</v>
      </c>
      <c r="I26" s="2">
        <f t="shared" si="3"/>
        <v>1.6028883096704831</v>
      </c>
      <c r="J26">
        <f t="shared" si="8"/>
        <v>-4.2797934923998948</v>
      </c>
      <c r="K26">
        <f t="shared" si="8"/>
        <v>42.582025096362671</v>
      </c>
      <c r="L26">
        <f t="shared" si="7"/>
        <v>3026.7676088279395</v>
      </c>
      <c r="M26">
        <f t="shared" si="7"/>
        <v>16488144.120211499</v>
      </c>
    </row>
    <row r="27" spans="1:13" x14ac:dyDescent="0.2">
      <c r="A27">
        <v>64</v>
      </c>
      <c r="B27">
        <v>158</v>
      </c>
      <c r="C27" s="2">
        <f t="shared" si="5"/>
        <v>24.923453380425929</v>
      </c>
      <c r="D27" s="2">
        <f t="shared" si="5"/>
        <v>1.6028883096704831</v>
      </c>
      <c r="E27" s="2">
        <f t="shared" si="6"/>
        <v>127.50830519933685</v>
      </c>
      <c r="F27" s="6">
        <f t="shared" si="0"/>
        <v>-60.983389601326309</v>
      </c>
      <c r="G27" s="6">
        <f t="shared" si="1"/>
        <v>-3902.9369344848837</v>
      </c>
      <c r="H27" s="2">
        <f t="shared" si="3"/>
        <v>24.968411827250037</v>
      </c>
      <c r="I27" s="2">
        <f t="shared" si="3"/>
        <v>1.6245997056529164</v>
      </c>
      <c r="J27">
        <f t="shared" si="8"/>
        <v>-9.9501531032925357</v>
      </c>
      <c r="K27">
        <f t="shared" si="8"/>
        <v>-351.96987086176188</v>
      </c>
      <c r="L27">
        <f t="shared" si="7"/>
        <v>3061.3779187499003</v>
      </c>
      <c r="M27">
        <f t="shared" si="7"/>
        <v>16425382.749929236</v>
      </c>
    </row>
    <row r="28" spans="1:13" x14ac:dyDescent="0.2">
      <c r="A28">
        <v>99</v>
      </c>
      <c r="B28">
        <v>228</v>
      </c>
      <c r="C28" s="2">
        <f t="shared" si="5"/>
        <v>24.968411827250037</v>
      </c>
      <c r="D28" s="2">
        <f t="shared" si="5"/>
        <v>1.6245997056529164</v>
      </c>
      <c r="E28" s="2">
        <f t="shared" si="6"/>
        <v>185.80378268688875</v>
      </c>
      <c r="F28" s="6">
        <f t="shared" si="0"/>
        <v>-84.392434626222496</v>
      </c>
      <c r="G28" s="6">
        <f t="shared" si="1"/>
        <v>-8354.8510279960265</v>
      </c>
      <c r="H28" s="2">
        <f t="shared" si="3"/>
        <v>25.044522652796793</v>
      </c>
      <c r="I28" s="2">
        <f t="shared" si="3"/>
        <v>1.6905228591431392</v>
      </c>
      <c r="J28">
        <f t="shared" si="8"/>
        <v>-17.394381255585529</v>
      </c>
      <c r="K28">
        <f t="shared" si="8"/>
        <v>-1152.2579865751882</v>
      </c>
      <c r="L28">
        <f t="shared" si="7"/>
        <v>3264.4131739194672</v>
      </c>
      <c r="M28">
        <f t="shared" si="7"/>
        <v>19094290.397433091</v>
      </c>
    </row>
    <row r="29" spans="1:13" x14ac:dyDescent="0.2">
      <c r="A29">
        <v>70</v>
      </c>
      <c r="B29">
        <v>170</v>
      </c>
      <c r="C29" s="2">
        <f t="shared" si="5"/>
        <v>25.044522652796793</v>
      </c>
      <c r="D29" s="2">
        <f t="shared" si="5"/>
        <v>1.6905228591431392</v>
      </c>
      <c r="E29" s="2">
        <f t="shared" si="6"/>
        <v>143.38112279281654</v>
      </c>
      <c r="F29" s="6">
        <f t="shared" si="0"/>
        <v>-53.237754414366918</v>
      </c>
      <c r="G29" s="6">
        <f t="shared" si="1"/>
        <v>-3726.6428090056843</v>
      </c>
      <c r="H29" s="2">
        <f t="shared" si="3"/>
        <v>25.136620997156037</v>
      </c>
      <c r="I29" s="2">
        <f t="shared" si="3"/>
        <v>1.7717300883323421</v>
      </c>
      <c r="J29">
        <f t="shared" si="8"/>
        <v>-20.978718571463666</v>
      </c>
      <c r="K29">
        <f t="shared" si="8"/>
        <v>-1409.6964688182379</v>
      </c>
      <c r="L29">
        <f t="shared" si="7"/>
        <v>3242.905439977716</v>
      </c>
      <c r="M29">
        <f t="shared" si="7"/>
        <v>18833969.208857123</v>
      </c>
    </row>
    <row r="30" spans="1:13" x14ac:dyDescent="0.2">
      <c r="A30">
        <v>27</v>
      </c>
      <c r="B30">
        <v>84</v>
      </c>
      <c r="C30" s="2">
        <f t="shared" si="5"/>
        <v>25.136620997156037</v>
      </c>
      <c r="D30" s="2">
        <f t="shared" si="5"/>
        <v>1.7717300883323421</v>
      </c>
      <c r="E30" s="2">
        <f t="shared" si="6"/>
        <v>72.973333382129283</v>
      </c>
      <c r="F30" s="6">
        <f t="shared" si="0"/>
        <v>-22.053333235741434</v>
      </c>
      <c r="G30" s="6">
        <f t="shared" si="1"/>
        <v>-595.43999736501871</v>
      </c>
      <c r="H30" s="2">
        <f t="shared" si="3"/>
        <v>25.231223295321808</v>
      </c>
      <c r="I30" s="2">
        <f t="shared" si="3"/>
        <v>1.8501956106888329</v>
      </c>
      <c r="J30">
        <f t="shared" si="8"/>
        <v>-21.086180037891445</v>
      </c>
      <c r="K30">
        <f t="shared" si="8"/>
        <v>-1328.2708216729161</v>
      </c>
      <c r="L30">
        <f t="shared" si="7"/>
        <v>3105.0776433191627</v>
      </c>
      <c r="M30">
        <f t="shared" si="7"/>
        <v>17909998.187937368</v>
      </c>
    </row>
    <row r="31" spans="1:13" x14ac:dyDescent="0.2">
      <c r="A31">
        <v>17</v>
      </c>
      <c r="B31">
        <v>64</v>
      </c>
      <c r="C31" s="2">
        <f t="shared" si="5"/>
        <v>25.231223295321808</v>
      </c>
      <c r="D31" s="2">
        <f t="shared" si="5"/>
        <v>1.8501956106888329</v>
      </c>
      <c r="E31" s="2">
        <f t="shared" si="6"/>
        <v>56.68454867703197</v>
      </c>
      <c r="F31" s="6">
        <f t="shared" si="0"/>
        <v>-14.630902645936061</v>
      </c>
      <c r="G31" s="6">
        <f t="shared" si="1"/>
        <v>-248.72534498091304</v>
      </c>
      <c r="H31" s="2">
        <f t="shared" si="3"/>
        <v>25.325141601567246</v>
      </c>
      <c r="I31" s="2">
        <f t="shared" si="3"/>
        <v>1.9241498994297221</v>
      </c>
      <c r="J31">
        <f t="shared" si="8"/>
        <v>-20.440652298695909</v>
      </c>
      <c r="K31">
        <f t="shared" si="8"/>
        <v>-1220.3162740037158</v>
      </c>
      <c r="L31">
        <f t="shared" si="7"/>
        <v>2960.5269267649473</v>
      </c>
      <c r="M31">
        <f t="shared" si="7"/>
        <v>17017591.493402295</v>
      </c>
    </row>
    <row r="32" spans="1:13" x14ac:dyDescent="0.2">
      <c r="A32">
        <v>8</v>
      </c>
      <c r="B32">
        <v>46</v>
      </c>
      <c r="C32" s="2">
        <f t="shared" si="5"/>
        <v>25.325141601567246</v>
      </c>
      <c r="D32" s="2">
        <f t="shared" si="5"/>
        <v>1.9241498994297221</v>
      </c>
      <c r="E32" s="2">
        <f t="shared" si="6"/>
        <v>40.718340797005027</v>
      </c>
      <c r="F32" s="6">
        <f t="shared" si="0"/>
        <v>-10.563318405989946</v>
      </c>
      <c r="G32" s="6">
        <f t="shared" si="1"/>
        <v>-84.506547247919571</v>
      </c>
      <c r="H32" s="2">
        <f t="shared" si="3"/>
        <v>25.416752711362147</v>
      </c>
      <c r="I32" s="2">
        <f t="shared" si="3"/>
        <v>1.9929625245050073</v>
      </c>
      <c r="J32">
        <f t="shared" si="8"/>
        <v>-19.452918909425311</v>
      </c>
      <c r="K32">
        <f t="shared" si="8"/>
        <v>-1106.7353013281363</v>
      </c>
      <c r="L32">
        <f t="shared" si="7"/>
        <v>2818.0797652140159</v>
      </c>
      <c r="M32">
        <f t="shared" si="7"/>
        <v>16167068.986558568</v>
      </c>
    </row>
    <row r="33" spans="1:15" x14ac:dyDescent="0.2">
      <c r="A33" s="6"/>
      <c r="B33" s="6"/>
      <c r="F33" s="6">
        <f>SQRT(SUMSQ(F4:F32))/COUNT(F4:F32)</f>
        <v>12.008291953713478</v>
      </c>
      <c r="G33" s="6">
        <f>SQRT(SUMSQ(G4:G32))/COUNT(G4:G32)</f>
        <v>900.51606490940912</v>
      </c>
      <c r="H33" s="2"/>
      <c r="J33">
        <v>-15.380836588601925</v>
      </c>
      <c r="K33">
        <v>-1240.4305034588485</v>
      </c>
      <c r="L33" s="6">
        <v>2270.7281101012391</v>
      </c>
      <c r="M33" s="6">
        <v>12840632.920516655</v>
      </c>
      <c r="N33" s="2">
        <f>SQRT(L33)+SQRT(M33)</f>
        <v>3631.0350452463026</v>
      </c>
      <c r="O33" s="9"/>
    </row>
    <row r="34" spans="1:15" x14ac:dyDescent="0.2">
      <c r="K34">
        <f>1/K3</f>
        <v>-8.0617172603509354E-4</v>
      </c>
      <c r="L34">
        <f>1/L3</f>
        <v>4.4038737863487127E-4</v>
      </c>
      <c r="N34">
        <f>avg_grad2/prev_grad2</f>
        <v>2.3330990979951109</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12700</xdr:colOff>
                    <xdr:row>0</xdr:row>
                    <xdr:rowOff>12700</xdr:rowOff>
                  </from>
                  <to>
                    <xdr:col>0</xdr:col>
                    <xdr:colOff>647700</xdr:colOff>
                    <xdr:row>0</xdr:row>
                    <xdr:rowOff>177800</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12700</xdr:colOff>
                    <xdr:row>1</xdr:row>
                    <xdr:rowOff>12700</xdr:rowOff>
                  </from>
                  <to>
                    <xdr:col>0</xdr:col>
                    <xdr:colOff>647700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7</vt:i4>
      </vt:variant>
      <vt:variant>
        <vt:lpstr>Named Ranges</vt:lpstr>
      </vt:variant>
      <vt:variant>
        <vt:i4>54</vt:i4>
      </vt:variant>
    </vt:vector>
  </HeadingPairs>
  <TitlesOfParts>
    <vt:vector size="61" baseType="lpstr">
      <vt:lpstr>Sheet1</vt:lpstr>
      <vt:lpstr>data</vt:lpstr>
      <vt:lpstr>basic</vt:lpstr>
      <vt:lpstr>momentum</vt:lpstr>
      <vt:lpstr>rmsprop</vt:lpstr>
      <vt:lpstr>adam</vt:lpstr>
      <vt:lpstr>adam_ann</vt:lpstr>
      <vt:lpstr>adam_ann!avg_grad2</vt:lpstr>
      <vt:lpstr>adam!const</vt:lpstr>
      <vt:lpstr>adam_ann!const</vt:lpstr>
      <vt:lpstr>basic!const</vt:lpstr>
      <vt:lpstr>momentum!const</vt:lpstr>
      <vt:lpstr>rmsprop!const</vt:lpstr>
      <vt:lpstr>adam_ann!gradrat</vt:lpstr>
      <vt:lpstr>adam!gradtarget</vt:lpstr>
      <vt:lpstr>adam_ann!gradtarget</vt:lpstr>
      <vt:lpstr>basic!gradtarget</vt:lpstr>
      <vt:lpstr>rmsprop!gradtarget</vt:lpstr>
      <vt:lpstr>adam!histgrad</vt:lpstr>
      <vt:lpstr>adam_ann!histgrad</vt:lpstr>
      <vt:lpstr>basic!histgrad</vt:lpstr>
      <vt:lpstr>momentum!histgrad</vt:lpstr>
      <vt:lpstr>rmsprop!histgrad</vt:lpstr>
      <vt:lpstr>adam!lastconst</vt:lpstr>
      <vt:lpstr>adam_ann!lastconst</vt:lpstr>
      <vt:lpstr>basic!lastconst</vt:lpstr>
      <vt:lpstr>momentum!lastconst</vt:lpstr>
      <vt:lpstr>rmsprop!lastconst</vt:lpstr>
      <vt:lpstr>adam!lastslope</vt:lpstr>
      <vt:lpstr>adam_ann!lastslope</vt:lpstr>
      <vt:lpstr>basic!lastslope</vt:lpstr>
      <vt:lpstr>momentum!lastslope</vt:lpstr>
      <vt:lpstr>rmsprop!lastslope</vt:lpstr>
      <vt:lpstr>adam!lr</vt:lpstr>
      <vt:lpstr>adam_ann!lr</vt:lpstr>
      <vt:lpstr>momentum!lr</vt:lpstr>
      <vt:lpstr>adam!max_clipped</vt:lpstr>
      <vt:lpstr>adam_ann!max_clipped</vt:lpstr>
      <vt:lpstr>momentum!max_clipped</vt:lpstr>
      <vt:lpstr>rmsprop!max_clipped</vt:lpstr>
      <vt:lpstr>adam!momlast</vt:lpstr>
      <vt:lpstr>adam_ann!momlast</vt:lpstr>
      <vt:lpstr>momentum!momlast</vt:lpstr>
      <vt:lpstr>adam!momtarget</vt:lpstr>
      <vt:lpstr>adam_ann!momtarget</vt:lpstr>
      <vt:lpstr>momentum!momtarget</vt:lpstr>
      <vt:lpstr>adam!ms_last</vt:lpstr>
      <vt:lpstr>adam_ann!ms_last</vt:lpstr>
      <vt:lpstr>rmsprop!ms_last</vt:lpstr>
      <vt:lpstr>adam!pct_clipped</vt:lpstr>
      <vt:lpstr>adam_ann!pct_clipped</vt:lpstr>
      <vt:lpstr>momentum!pct_clipped</vt:lpstr>
      <vt:lpstr>adam_ann!prev_grad2</vt:lpstr>
      <vt:lpstr>basic!rmse</vt:lpstr>
      <vt:lpstr>basic!rmses</vt:lpstr>
      <vt:lpstr>basic!rmsestart</vt:lpstr>
      <vt:lpstr>adam!slope</vt:lpstr>
      <vt:lpstr>adam_ann!slope</vt:lpstr>
      <vt:lpstr>basic!slope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2019-02-09T22:27:35Z</dcterms:modified>
</cp:coreProperties>
</file>